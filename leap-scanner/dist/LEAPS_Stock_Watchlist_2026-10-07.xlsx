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b979c74d3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chlist" sheetId="1" r:id="Rc02a8b0fcbd74988"/>
    <x:sheet xmlns:r="http://schemas.openxmlformats.org/officeDocument/2006/relationships" name="Research notes" sheetId="2" r:id="R9cfe37ad421644a3"/>
    <x:sheet xmlns:r="http://schemas.openxmlformats.org/officeDocument/2006/relationships" name="Quarterly audit" sheetId="3" r:id="Rd40012070ac0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0.00;($0.00);–"/>
    <x:numFmt numFmtId="201" formatCode="0.0%;(0.0%);–"/>
    <x:numFmt numFmtId="202" formatCode="#,##0.0;(#,##0.0);–"/>
  </x:numFmts>
  <x:fonts count="9">
    <x:font>
      <x:sz val="11"/>
      <x:name val="Carlito"/>
    </x:font>
    <x:font>
      <x:sz val="10"/>
      <x:color rgb="FF172B4D"/>
      <x:name val="Aptos"/>
    </x:font>
    <x:font>
      <x:b/>
      <x:sz val="16"/>
      <x:color rgb="FF17324D"/>
      <x:name val="Aptos"/>
    </x:font>
    <x:font>
      <x:sz val="10"/>
      <x:color rgb="FF53657D"/>
      <x:name val="Aptos"/>
    </x:font>
    <x:font>
      <x:b/>
      <x:sz val="10"/>
      <x:color rgb="FFFFFFFF"/>
      <x:name val="Aptos"/>
    </x:font>
    <x:font>
      <x:sz val="10"/>
      <x:color rgb="FF1D4ED8"/>
      <x:name val="Aptos"/>
    </x:font>
    <x:font>
      <x:sz val="10"/>
      <x:color rgb="FF17324D"/>
      <x:name val="Aptos"/>
    </x:font>
    <x:font>
      <x:b/>
      <x:sz val="10"/>
      <x:color rgb="FF172B4D"/>
      <x:name val="Aptos"/>
    </x:font>
    <x:font>
      <x:sz val="9"/>
      <x:color rgb="FF1D4ED8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EF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B8C8D8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0" fontId="7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2" fontId="1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8f4be5f1734afe" /><Relationship Type="http://schemas.openxmlformats.org/officeDocument/2006/relationships/theme" Target="/xl/theme/theme1.xml" Id="R4e6a5826557b49e7" /><Relationship Type="http://schemas.openxmlformats.org/officeDocument/2006/relationships/sharedStrings" Target="/xl/sharedStrings.xml" Id="R866e97aebbe44d8a" /><Relationship Type="http://schemas.openxmlformats.org/officeDocument/2006/relationships/worksheet" Target="/xl/worksheets/sheet1.xml" Id="Rc02a8b0fcbd74988" /><Relationship Type="http://schemas.openxmlformats.org/officeDocument/2006/relationships/worksheet" Target="/xl/worksheets/sheet2.xml" Id="R9cfe37ad421644a3" /><Relationship Type="http://schemas.openxmlformats.org/officeDocument/2006/relationships/worksheet" Target="/xl/worksheets/sheet3.xml" Id="Rd40012070ac041b4" /></Relationships>
</file>

<file path=xl/tables/table1.xml><?xml version="1.0" encoding="utf-8"?>
<x:table xmlns:x="http://schemas.openxmlformats.org/spreadsheetml/2006/main" id="1" name="StockWatchlist" displayName="StockWatchlist" ref="A8:L44" headerRowCount="1" totalsRowCount="0" totalsRowShown="0">
  <x:autoFilter ref="A8:L44"/>
  <x:tableColumns count="12">
    <x:tableColumn id="1" name="Rank"/>
    <x:tableColumn id="2" name="Ticker"/>
    <x:tableColumn id="3" name="Company"/>
    <x:tableColumn id="4" name="Close ($)"/>
    <x:tableColumn id="5" name="Ref. high ($)"/>
    <x:tableColumn id="6" name="High basis"/>
    <x:tableColumn id="7" name="Drawdown"/>
    <x:tableColumn id="8" name="Revenue YoY (TTM)"/>
    <x:tableColumn id="9" name="Net income TTM ($m)"/>
    <x:tableColumn id="10" name="NI YoY (TTM)"/>
    <x:tableColumn id="11" name="Latest quarter streak"/>
    <x:tableColumn id="12" name="Quarter 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nyResearch" displayName="CompanyResearch" ref="A8:J44" headerRowCount="1" totalsRowCount="0" totalsRowShown="0">
  <x:autoFilter ref="A8:J44"/>
  <x:tableColumns count="10">
    <x:tableColumn id="1" name="Rank"/>
    <x:tableColumn id="2" name="Ticker"/>
    <x:tableColumn id="3" name="Catalyst to monitor"/>
    <x:tableColumn id="4" name="Main risk"/>
    <x:tableColumn id="5" name="Earnings quality / exception"/>
    <x:tableColumn id="6" name="Options review"/>
    <x:tableColumn id="7" name="Issuer / SEC source"/>
    <x:tableColumn id="8" name="Screen / financial source"/>
    <x:tableColumn id="9" name="High reference source"/>
    <x:tableColumn id="10" name="Options listing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rterTests" displayName="QuarterTests" ref="A8:L104" headerRowCount="1" totalsRowCount="0" totalsRowShown="0">
  <x:autoFilter ref="A8:L104"/>
  <x:tableColumns count="12">
    <x:tableColumn id="1" name="Ticker"/>
    <x:tableColumn id="2" name="Fiscal quarter"/>
    <x:tableColumn id="3" name="Currency"/>
    <x:tableColumn id="4" name="Revenue (m)"/>
    <x:tableColumn id="5" name="Revenue year ago (m)"/>
    <x:tableColumn id="6" name="Revenue YoY"/>
    <x:tableColumn id="7" name="Net income (m)"/>
    <x:tableColumn id="8" name="NI year ago (m)"/>
    <x:tableColumn id="9" name="NI YoY"/>
    <x:tableColumn id="10" name="NI change (m)"/>
    <x:tableColumn id="11" name="Qualifies (1/0)"/>
    <x:tableColumn id="12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15e42c963c40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ed2d0d25bcf4a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8965738c2241d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24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5" hidden="0" customWidth="1"/>
    <x:col min="9" max="9" width="22" hidden="0" customWidth="1"/>
    <x:col min="10" max="10" width="19" hidden="0" customWidth="1"/>
    <x:col min="11" max="11" width="16" hidden="0" customWidth="1"/>
    <x:col min="12" max="12" width="24" hidden="0" customWidth="1"/>
  </x:cols>
  <x:sheetData>
    <x:row r="1" ht="32" customHeight="1">
      <x:c r="A1" s="29" t="str">
        <x:v>LEAPS stock watchlist | October 6, 2026 close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8" customHeight="1">
      <x:c r="A2" s="31" t="str">
        <x:v>36 broad TTM financial/drawdown matches. Ranking is a research judgment, not a return forecast or a contract recommendation.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8" customHeight="1">
      <x:c r="A3" s="31" t="str">
        <x:v>Screen: TTM revenue grows; TTM net income grows or turns positive; price is 30–70% below the stated high. All listed stocks have positive TTM net income.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8" customHeight="1">
      <x:c r="A4" s="31" t="str">
        <x:v>First 8: stronger quarterly evidence. Several lower-ranked rows fail a 3–4 consecutive-quarter or low-macro-exposure preference; read the exceptions before considering them.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28" customHeight="1">
      <x:c r="A5" s="31" t="str">
        <x:v>Quarter test: each latest fiscal quarter has positive net income and higher revenue/net income than the same quarter one year earlier. ‘4’ means at least four verified.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 ht="28" customHeight="1">
      <x:c r="A6" s="31" t="str">
        <x:v>Drawdown = 1 − close/reference high. Blue financial cells are editable source inputs; formulas update when inputs change. Historical highs are not price targets.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 ht="28" customHeight="1">
      <x:c r="A7" s="31" t="str">
        <x:v>Research notes contain catalysts, earnings caveats, risks, source links and option listing checks. Quarterly audit provides the matching-period calculation inputs.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 ht="42" customHeight="1">
      <x:c r="A8" s="32" t="str">
        <x:v>Rank</x:v>
      </x:c>
      <x:c r="B8" s="32" t="str">
        <x:v>Ticker</x:v>
      </x:c>
      <x:c r="C8" s="32" t="str">
        <x:v>Company</x:v>
      </x:c>
      <x:c r="D8" s="32" t="str">
        <x:v>Close ($)</x:v>
      </x:c>
      <x:c r="E8" s="32" t="str">
        <x:v>Ref. high ($)</x:v>
      </x:c>
      <x:c r="F8" s="32" t="str">
        <x:v>High basis</x:v>
      </x:c>
      <x:c r="G8" s="32" t="str">
        <x:v>Drawdown</x:v>
      </x:c>
      <x:c r="H8" s="32" t="str">
        <x:v>Revenue YoY (TTM)</x:v>
      </x:c>
      <x:c r="I8" s="32" t="str">
        <x:v>Net income TTM ($m)</x:v>
      </x:c>
      <x:c r="J8" s="32" t="str">
        <x:v>NI YoY (TTM)</x:v>
      </x:c>
      <x:c r="K8" s="32" t="str">
        <x:v>Latest quarter streak</x:v>
      </x:c>
      <x:c r="L8" s="32" t="str">
        <x:v>Quarter review</x:v>
      </x:c>
    </x:row>
    <x:row r="9" ht="34" customHeight="1">
      <x:c r="A9" s="33" t="n">
        <x:v>1</x:v>
      </x:c>
      <x:c r="B9" s="33" t="str">
        <x:v>RDDT</x:v>
      </x:c>
      <x:c r="C9" s="34" t="str">
        <x:v>Reddit</x:v>
      </x:c>
      <x:c r="D9" s="35" t="n">
        <x:v>148.95</x:v>
      </x:c>
      <x:c r="E9" s="35" t="n">
        <x:v>263.5</x:v>
      </x:c>
      <x:c r="F9" s="36" t="str">
        <x:v>52-week</x:v>
      </x:c>
      <x:c r="G9" s="37" t="n">
        <x:f>1-D9/E9</x:f>
        <x:v>0.43472485768500957</x:v>
      </x:c>
      <x:c r="H9" s="38" t="n">
        <x:v>0.6659999999999999</x:v>
      </x:c>
      <x:c r="I9" s="39" t="n">
        <x:v>871.1</x:v>
      </x:c>
      <x:c r="J9" s="40" t="n">
        <x:v>3.0260000000000002</x:v>
      </x:c>
      <x:c r="K9" s="41" t="n">
        <x:f>IF('Quarterly audit'!K9=1,1+IF('Quarterly audit'!K10=1,1+IF('Quarterly audit'!K11=1,1+IF('Quarterly audit'!K12=1,1,0),0),0),0)</x:f>
        <x:v>4</x:v>
      </x:c>
      <x:c r="L9" s="42" t="str">
        <x:v>Q2 2026</x:v>
      </x:c>
    </x:row>
    <x:row r="10" ht="34" customHeight="1">
      <x:c r="A10" s="33" t="n">
        <x:v>2</x:v>
      </x:c>
      <x:c r="B10" s="33" t="str">
        <x:v>ORCL</x:v>
      </x:c>
      <x:c r="C10" s="34" t="str">
        <x:v>Oracle</x:v>
      </x:c>
      <x:c r="D10" s="35" t="n">
        <x:v>144.77</x:v>
      </x:c>
      <x:c r="E10" s="35" t="n">
        <x:v>322.54</x:v>
      </x:c>
      <x:c r="F10" s="36" t="str">
        <x:v>52-week</x:v>
      </x:c>
      <x:c r="G10" s="37" t="n">
        <x:f>1-D10/E10</x:f>
        <x:v>0.5511564457121597</x:v>
      </x:c>
      <x:c r="H10" s="38" t="n">
        <x:v>0.21600000000000003</x:v>
      </x:c>
      <x:c r="I10" s="39" t="n">
        <x:v>18740</x:v>
      </x:c>
      <x:c r="J10" s="40" t="n">
        <x:v>0.521</x:v>
      </x:c>
      <x:c r="K10" s="41" t="n">
        <x:f>IF('Quarterly audit'!K13=1,1+IF('Quarterly audit'!K14=1,1+IF('Quarterly audit'!K15=1,1+IF('Quarterly audit'!K16=1,1,0),0),0),0)</x:f>
        <x:v>4</x:v>
      </x:c>
      <x:c r="L10" s="42" t="str">
        <x:v>Q1 2027</x:v>
      </x:c>
    </x:row>
    <x:row r="11" ht="34" customHeight="1">
      <x:c r="A11" s="33" t="n">
        <x:v>3</x:v>
      </x:c>
      <x:c r="B11" s="33" t="str">
        <x:v>IOT</x:v>
      </x:c>
      <x:c r="C11" s="34" t="str">
        <x:v>Samsara</x:v>
      </x:c>
      <x:c r="D11" s="35" t="n">
        <x:v>41.74</x:v>
      </x:c>
      <x:c r="E11" s="35" t="n">
        <x:v>61.9</x:v>
      </x:c>
      <x:c r="F11" s="36" t="str">
        <x:v>ATH</x:v>
      </x:c>
      <x:c r="G11" s="37" t="n">
        <x:f>1-D11/E11</x:f>
        <x:v>0.325686591276252</x:v>
      </x:c>
      <x:c r="H11" s="38" t="n">
        <x:v>0.295</x:v>
      </x:c>
      <x:c r="I11" s="39" t="n">
        <x:v>90.55</x:v>
      </x:c>
      <x:c r="J11" s="40" t="str">
        <x:v>Turned positive</x:v>
      </x:c>
      <x:c r="K11" s="41" t="n">
        <x:f>IF('Quarterly audit'!K17=1,1+IF('Quarterly audit'!K18=1,1+IF('Quarterly audit'!K19=1,1+IF('Quarterly audit'!K20=1,1,0),0),0),0)</x:f>
        <x:v>4</x:v>
      </x:c>
      <x:c r="L11" s="42" t="str">
        <x:v>Q2 2027</x:v>
      </x:c>
    </x:row>
    <x:row r="12" ht="34" customHeight="1">
      <x:c r="A12" s="33" t="n">
        <x:v>4</x:v>
      </x:c>
      <x:c r="B12" s="33" t="str">
        <x:v>ADBE</x:v>
      </x:c>
      <x:c r="C12" s="34" t="str">
        <x:v>Adobe</x:v>
      </x:c>
      <x:c r="D12" s="35" t="n">
        <x:v>238.12</x:v>
      </x:c>
      <x:c r="E12" s="35" t="n">
        <x:v>363.7</x:v>
      </x:c>
      <x:c r="F12" s="36" t="str">
        <x:v>52-week</x:v>
      </x:c>
      <x:c r="G12" s="37" t="n">
        <x:f>1-D12/E12</x:f>
        <x:v>0.3452845751993401</x:v>
      </x:c>
      <x:c r="H12" s="38" t="n">
        <x:v>0.12</x:v>
      </x:c>
      <x:c r="I12" s="39" t="n">
        <x:v>7280</x:v>
      </x:c>
      <x:c r="J12" s="40" t="n">
        <x:v>0.047</x:v>
      </x:c>
      <x:c r="K12" s="41" t="n">
        <x:f>IF('Quarterly audit'!K21=1,1+IF('Quarterly audit'!K22=1,1+IF('Quarterly audit'!K23=1,1+IF('Quarterly audit'!K24=1,1,0),0),0),0)</x:f>
        <x:v>4</x:v>
      </x:c>
      <x:c r="L12" s="42" t="str">
        <x:v>Q3 2026</x:v>
      </x:c>
    </x:row>
    <x:row r="13" ht="34" customHeight="1">
      <x:c r="A13" s="33" t="n">
        <x:v>5</x:v>
      </x:c>
      <x:c r="B13" s="33" t="str">
        <x:v>ADSK</x:v>
      </x:c>
      <x:c r="C13" s="34" t="str">
        <x:v>Autodesk</x:v>
      </x:c>
      <x:c r="D13" s="35" t="n">
        <x:v>231.28</x:v>
      </x:c>
      <x:c r="E13" s="35" t="n">
        <x:v>344.39</x:v>
      </x:c>
      <x:c r="F13" s="36" t="str">
        <x:v>ATH</x:v>
      </x:c>
      <x:c r="G13" s="37" t="n">
        <x:f>1-D13/E13</x:f>
        <x:v>0.3284357850111792</x:v>
      </x:c>
      <x:c r="H13" s="38" t="n">
        <x:v>0.179</x:v>
      </x:c>
      <x:c r="I13" s="39" t="n">
        <x:v>1640</x:v>
      </x:c>
      <x:c r="J13" s="40" t="n">
        <x:v>0.574</x:v>
      </x:c>
      <x:c r="K13" s="41" t="n">
        <x:f>IF('Quarterly audit'!K25=1,1+IF('Quarterly audit'!K26=1,1+IF('Quarterly audit'!K27=1,1+IF('Quarterly audit'!K28=1,1,0),0),0),0)</x:f>
        <x:v>4</x:v>
      </x:c>
      <x:c r="L13" s="42" t="str">
        <x:v>Q2 2027</x:v>
      </x:c>
    </x:row>
    <x:row r="14" ht="34" customHeight="1">
      <x:c r="A14" s="33" t="n">
        <x:v>6</x:v>
      </x:c>
      <x:c r="B14" s="33" t="str">
        <x:v>APP</x:v>
      </x:c>
      <x:c r="C14" s="34" t="str">
        <x:v>AppLovin</x:v>
      </x:c>
      <x:c r="D14" s="35" t="n">
        <x:v>278.78</x:v>
      </x:c>
      <x:c r="E14" s="35" t="n">
        <x:v>738.01</x:v>
      </x:c>
      <x:c r="F14" s="36" t="str">
        <x:v>52-week</x:v>
      </x:c>
      <x:c r="G14" s="37" t="n">
        <x:f>1-D14/E14</x:f>
        <x:v>0.6222544409967345</x:v>
      </x:c>
      <x:c r="H14" s="38" t="n">
        <x:v>0.606</x:v>
      </x:c>
      <x:c r="I14" s="39" t="n">
        <x:v>4410</x:v>
      </x:c>
      <x:c r="J14" s="40" t="n">
        <x:v>0.815</x:v>
      </x:c>
      <x:c r="K14" s="41" t="n">
        <x:f>IF('Quarterly audit'!K29=1,1+IF('Quarterly audit'!K30=1,1+IF('Quarterly audit'!K31=1,1+IF('Quarterly audit'!K32=1,1,0),0),0),0)</x:f>
        <x:v>4</x:v>
      </x:c>
      <x:c r="L14" s="42" t="str">
        <x:v>Q2 2026</x:v>
      </x:c>
    </x:row>
    <x:row r="15" ht="34" customHeight="1">
      <x:c r="A15" s="33" t="n">
        <x:v>7</x:v>
      </x:c>
      <x:c r="B15" s="33" t="str">
        <x:v>ACN</x:v>
      </x:c>
      <x:c r="C15" s="34" t="str">
        <x:v>Accenture</x:v>
      </x:c>
      <x:c r="D15" s="35" t="n">
        <x:v>193.4</x:v>
      </x:c>
      <x:c r="E15" s="35" t="n">
        <x:v>291.09</x:v>
      </x:c>
      <x:c r="F15" s="36" t="str">
        <x:v>52-week</x:v>
      </x:c>
      <x:c r="G15" s="37" t="n">
        <x:f>1-D15/E15</x:f>
        <x:v>0.3356006733312721</x:v>
      </x:c>
      <x:c r="H15" s="38" t="n">
        <x:v>0.065</x:v>
      </x:c>
      <x:c r="I15" s="39" t="n">
        <x:v>8370</x:v>
      </x:c>
      <x:c r="J15" s="40" t="n">
        <x:v>0.09</x:v>
      </x:c>
      <x:c r="K15" s="41" t="n">
        <x:f>IF('Quarterly audit'!K33=1,1+IF('Quarterly audit'!K34=1,1+IF('Quarterly audit'!K35=1,1+IF('Quarterly audit'!K36=1,1,0),0),0),0)</x:f>
        <x:v>3</x:v>
      </x:c>
      <x:c r="L15" s="42" t="str">
        <x:v>Q4 2026</x:v>
      </x:c>
    </x:row>
    <x:row r="16" ht="34" customHeight="1">
      <x:c r="A16" s="33" t="n">
        <x:v>8</x:v>
      </x:c>
      <x:c r="B16" s="33" t="str">
        <x:v>SAP</x:v>
      </x:c>
      <x:c r="C16" s="34" t="str">
        <x:v>SAP</x:v>
      </x:c>
      <x:c r="D16" s="35" t="n">
        <x:v>210.46</x:v>
      </x:c>
      <x:c r="E16" s="35" t="n">
        <x:v>313.28</x:v>
      </x:c>
      <x:c r="F16" s="36" t="str">
        <x:v>ATH</x:v>
      </x:c>
      <x:c r="G16" s="37" t="n">
        <x:f>1-D16/E16</x:f>
        <x:v>0.3282048008171603</x:v>
      </x:c>
      <x:c r="H16" s="38" t="n">
        <x:v>0.064</x:v>
      </x:c>
      <x:c r="I16" s="39" t="n">
        <x:v>8910</x:v>
      </x:c>
      <x:c r="J16" s="40" t="n">
        <x:v>0.192</x:v>
      </x:c>
      <x:c r="K16" s="41" t="n">
        <x:f>IF('Quarterly audit'!K37=1,1+IF('Quarterly audit'!K38=1,1+IF('Quarterly audit'!K39=1,1+IF('Quarterly audit'!K40=1,1,0),0),0),0)</x:f>
        <x:v>4</x:v>
      </x:c>
      <x:c r="L16" s="42" t="str">
        <x:v>Q2 2026</x:v>
      </x:c>
    </x:row>
    <x:row r="17" ht="34" customHeight="1">
      <x:c r="A17" s="30" t="n">
        <x:v>9</x:v>
      </x:c>
      <x:c r="B17" s="30" t="str">
        <x:v>ISRG</x:v>
      </x:c>
      <x:c r="C17" s="30" t="str">
        <x:v>Intuitive Surgical</x:v>
      </x:c>
      <x:c r="D17" s="35" t="n">
        <x:v>404.76</x:v>
      </x:c>
      <x:c r="E17" s="35" t="n">
        <x:v>603.88</x:v>
      </x:c>
      <x:c r="F17" s="36" t="str">
        <x:v>52-week</x:v>
      </x:c>
      <x:c r="G17" s="37" t="n">
        <x:f>1-D17/E17</x:f>
        <x:v>0.32973438431476454</x:v>
      </x:c>
      <x:c r="H17" s="38" t="n">
        <x:v>0.207</x:v>
      </x:c>
      <x:c r="I17" s="39" t="n">
        <x:v>3140</x:v>
      </x:c>
      <x:c r="J17" s="40" t="n">
        <x:v>0.204</x:v>
      </x:c>
      <x:c r="K17" s="41" t="n">
        <x:f>IF('Quarterly audit'!K41=1,1+IF('Quarterly audit'!K42=1,1+IF('Quarterly audit'!K43=1,1+IF('Quarterly audit'!K44=1,1,0),0),0),0)</x:f>
        <x:v>4</x:v>
      </x:c>
      <x:c r="L17" s="42" t="str">
        <x:v>Q2 2026</x:v>
      </x:c>
    </x:row>
    <x:row r="18" ht="34" customHeight="1">
      <x:c r="A18" s="30" t="n">
        <x:v>10</x:v>
      </x:c>
      <x:c r="B18" s="30" t="str">
        <x:v>MNDY</x:v>
      </x:c>
      <x:c r="C18" s="30" t="str">
        <x:v>monday.com</x:v>
      </x:c>
      <x:c r="D18" s="35" t="n">
        <x:v>84.29</x:v>
      </x:c>
      <x:c r="E18" s="35" t="n">
        <x:v>210.49</x:v>
      </x:c>
      <x:c r="F18" s="36" t="str">
        <x:v>52-week</x:v>
      </x:c>
      <x:c r="G18" s="37" t="n">
        <x:f>1-D18/E18</x:f>
        <x:v>0.5995534229654615</x:v>
      </x:c>
      <x:c r="H18" s="38" t="n">
        <x:v>0.242</x:v>
      </x:c>
      <x:c r="I18" s="39" t="n">
        <x:v>121.24</x:v>
      </x:c>
      <x:c r="J18" s="40" t="n">
        <x:v>2.033</x:v>
      </x:c>
      <x:c r="K18" s="41" t="str">
        <x:v>n.a.</x:v>
      </x:c>
      <x:c r="L18" s="42" t="str">
        <x:v>Full streak unverified</x:v>
      </x:c>
    </x:row>
    <x:row r="19" ht="34" customHeight="1">
      <x:c r="A19" s="30" t="n">
        <x:v>11</x:v>
      </x:c>
      <x:c r="B19" s="30" t="str">
        <x:v>HUBS</x:v>
      </x:c>
      <x:c r="C19" s="30" t="str">
        <x:v>HubSpot</x:v>
      </x:c>
      <x:c r="D19" s="35" t="n">
        <x:v>217.09</x:v>
      </x:c>
      <x:c r="E19" s="35" t="n">
        <x:v>503</x:v>
      </x:c>
      <x:c r="F19" s="36" t="str">
        <x:v>52-week</x:v>
      </x:c>
      <x:c r="G19" s="37" t="n">
        <x:f>1-D19/E19</x:f>
        <x:v>0.5684095427435387</x:v>
      </x:c>
      <x:c r="H19" s="38" t="n">
        <x:v>0.21100000000000002</x:v>
      </x:c>
      <x:c r="I19" s="39" t="n">
        <x:v>146.85</x:v>
      </x:c>
      <x:c r="J19" s="40" t="str">
        <x:v>Turned positive</x:v>
      </x:c>
      <x:c r="K19" s="41" t="str">
        <x:v>n.a.</x:v>
      </x:c>
      <x:c r="L19" s="42" t="str">
        <x:v>Full streak unverified</x:v>
      </x:c>
    </x:row>
    <x:row r="20" ht="34" customHeight="1">
      <x:c r="A20" s="30" t="n">
        <x:v>12</x:v>
      </x:c>
      <x:c r="B20" s="30" t="str">
        <x:v>MDB</x:v>
      </x:c>
      <x:c r="C20" s="30" t="str">
        <x:v>MongoDB</x:v>
      </x:c>
      <x:c r="D20" s="35" t="n">
        <x:v>360.71</x:v>
      </x:c>
      <x:c r="E20" s="35" t="n">
        <x:v>590</x:v>
      </x:c>
      <x:c r="F20" s="36" t="str">
        <x:v>ATH</x:v>
      </x:c>
      <x:c r="G20" s="37" t="n">
        <x:f>1-D20/E20</x:f>
        <x:v>0.38862711864406785</x:v>
      </x:c>
      <x:c r="H20" s="38" t="n">
        <x:v>0.255</x:v>
      </x:c>
      <x:c r="I20" s="39" t="n">
        <x:v>58.9</x:v>
      </x:c>
      <x:c r="J20" s="40" t="str">
        <x:v>Turned positive</x:v>
      </x:c>
      <x:c r="K20" s="41" t="n">
        <x:f>IF('Quarterly audit'!K45=1,1+IF('Quarterly audit'!K46=1,1+IF('Quarterly audit'!K47=1,1+IF('Quarterly audit'!K48=1,1,0),0),0),0)</x:f>
        <x:v>2</x:v>
      </x:c>
      <x:c r="L20" s="42" t="str">
        <x:v>Q2 2027</x:v>
      </x:c>
    </x:row>
    <x:row r="21" ht="34" customHeight="1">
      <x:c r="A21" s="30" t="n">
        <x:v>13</x:v>
      </x:c>
      <x:c r="B21" s="30" t="str">
        <x:v>INTU</x:v>
      </x:c>
      <x:c r="C21" s="30" t="str">
        <x:v>Intuit</x:v>
      </x:c>
      <x:c r="D21" s="35" t="n">
        <x:v>289.81</x:v>
      </x:c>
      <x:c r="E21" s="35" t="n">
        <x:v>689.17</x:v>
      </x:c>
      <x:c r="F21" s="36" t="str">
        <x:v>52-week</x:v>
      </x:c>
      <x:c r="G21" s="37" t="n">
        <x:f>1-D21/E21</x:f>
        <x:v>0.5794796639435843</x:v>
      </x:c>
      <x:c r="H21" s="38" t="n">
        <x:v>0.139</x:v>
      </x:c>
      <x:c r="I21" s="39" t="n">
        <x:v>4570</x:v>
      </x:c>
      <x:c r="J21" s="40" t="n">
        <x:v>0.18</x:v>
      </x:c>
      <x:c r="K21" s="41" t="n">
        <x:f>IF('Quarterly audit'!K49=1,1+IF('Quarterly audit'!K50=1,1+IF('Quarterly audit'!K51=1,1+IF('Quarterly audit'!K52=1,1,0),0),0),0)</x:f>
        <x:v>0</x:v>
      </x:c>
      <x:c r="L21" s="42" t="str">
        <x:v>Q4 2026</x:v>
      </x:c>
    </x:row>
    <x:row r="22" ht="34" customHeight="1">
      <x:c r="A22" s="30" t="n">
        <x:v>14</x:v>
      </x:c>
      <x:c r="B22" s="30" t="str">
        <x:v>SOFI</x:v>
      </x:c>
      <x:c r="C22" s="30" t="str">
        <x:v>SoFi</x:v>
      </x:c>
      <x:c r="D22" s="35" t="n">
        <x:v>15.76</x:v>
      </x:c>
      <x:c r="E22" s="35" t="n">
        <x:v>32.73</x:v>
      </x:c>
      <x:c r="F22" s="36" t="str">
        <x:v>52-week</x:v>
      </x:c>
      <x:c r="G22" s="37" t="n">
        <x:f>1-D22/E22</x:f>
        <x:v>0.5184845707302168</x:v>
      </x:c>
      <x:c r="H22" s="38" t="n">
        <x:v>0.409</x:v>
      </x:c>
      <x:c r="I22" s="39" t="n">
        <x:v>636.26</x:v>
      </x:c>
      <x:c r="J22" s="40" t="n">
        <x:v>0.133</x:v>
      </x:c>
      <x:c r="K22" s="41" t="n">
        <x:f>IF('Quarterly audit'!K53=1,1+IF('Quarterly audit'!K54=1,1+IF('Quarterly audit'!K55=1,1+IF('Quarterly audit'!K56=1,1,0),0),0),0)</x:f>
        <x:v>2</x:v>
      </x:c>
      <x:c r="L22" s="42" t="str">
        <x:v>Q2 2026</x:v>
      </x:c>
    </x:row>
    <x:row r="23" ht="34" customHeight="1">
      <x:c r="A23" s="30" t="n">
        <x:v>15</x:v>
      </x:c>
      <x:c r="B23" s="30" t="str">
        <x:v>TOST</x:v>
      </x:c>
      <x:c r="C23" s="30" t="str">
        <x:v>Toast</x:v>
      </x:c>
      <x:c r="D23" s="35" t="n">
        <x:v>30.25</x:v>
      </x:c>
      <x:c r="E23" s="35" t="n">
        <x:v>69.93</x:v>
      </x:c>
      <x:c r="F23" s="36" t="str">
        <x:v>ATH</x:v>
      </x:c>
      <x:c r="G23" s="37" t="n">
        <x:f>1-D23/E23</x:f>
        <x:v>0.5674245674245675</x:v>
      </x:c>
      <x:c r="H23" s="38" t="n">
        <x:v>0.231</x:v>
      </x:c>
      <x:c r="I23" s="39" t="n">
        <x:v>486</x:v>
      </x:c>
      <x:c r="J23" s="40" t="n">
        <x:v>1.17</x:v>
      </x:c>
      <x:c r="K23" s="41" t="str">
        <x:v>n.a.</x:v>
      </x:c>
      <x:c r="L23" s="42" t="str">
        <x:v>Full streak unverified</x:v>
      </x:c>
    </x:row>
    <x:row r="24" ht="34" customHeight="1">
      <x:c r="A24" s="30" t="n">
        <x:v>16</x:v>
      </x:c>
      <x:c r="B24" s="30" t="str">
        <x:v>GRAB</x:v>
      </x:c>
      <x:c r="C24" s="30" t="str">
        <x:v>Grab</x:v>
      </x:c>
      <x:c r="D24" s="35" t="n">
        <x:v>3.07</x:v>
      </x:c>
      <x:c r="E24" s="35" t="n">
        <x:v>6.6</x:v>
      </x:c>
      <x:c r="F24" s="36" t="str">
        <x:v>52-week</x:v>
      </x:c>
      <x:c r="G24" s="37" t="n">
        <x:f>1-D24/E24</x:f>
        <x:v>0.5348484848484849</x:v>
      </x:c>
      <x:c r="H24" s="38" t="n">
        <x:v>0.215</x:v>
      </x:c>
      <x:c r="I24" s="39" t="n">
        <x:v>598</x:v>
      </x:c>
      <x:c r="J24" s="40" t="n">
        <x:v>4.387</x:v>
      </x:c>
      <x:c r="K24" s="41" t="str">
        <x:v>n.a.</x:v>
      </x:c>
      <x:c r="L24" s="42" t="str">
        <x:v>Full streak unverified</x:v>
      </x:c>
    </x:row>
    <x:row r="25" ht="34" customHeight="1">
      <x:c r="A25" s="30" t="n">
        <x:v>17</x:v>
      </x:c>
      <x:c r="B25" s="30" t="str">
        <x:v>SE</x:v>
      </x:c>
      <x:c r="C25" s="30" t="str">
        <x:v>Sea</x:v>
      </x:c>
      <x:c r="D25" s="35" t="n">
        <x:v>96.53</x:v>
      </x:c>
      <x:c r="E25" s="35" t="n">
        <x:v>193.48</x:v>
      </x:c>
      <x:c r="F25" s="36" t="str">
        <x:v>52-week</x:v>
      </x:c>
      <x:c r="G25" s="37" t="n">
        <x:f>1-D25/E25</x:f>
        <x:v>0.5010853835021707</x:v>
      </x:c>
      <x:c r="H25" s="38" t="n">
        <x:v>0.431</x:v>
      </x:c>
      <x:c r="I25" s="39" t="n">
        <x:v>1640</x:v>
      </x:c>
      <x:c r="J25" s="40" t="n">
        <x:v>0.37</x:v>
      </x:c>
      <x:c r="K25" s="41" t="n">
        <x:f>IF('Quarterly audit'!K57=1,1+IF('Quarterly audit'!K58=1,1+IF('Quarterly audit'!K59=1,1+IF('Quarterly audit'!K60=1,1,0),0),0),0)</x:f>
        <x:v>4</x:v>
      </x:c>
      <x:c r="L25" s="42" t="str">
        <x:v>Q2 2026</x:v>
      </x:c>
    </x:row>
    <x:row r="26" ht="34" customHeight="1">
      <x:c r="A26" s="30" t="n">
        <x:v>18</x:v>
      </x:c>
      <x:c r="B26" s="30" t="str">
        <x:v>CRM</x:v>
      </x:c>
      <x:c r="C26" s="30" t="str">
        <x:v>Salesforce</x:v>
      </x:c>
      <x:c r="D26" s="35" t="n">
        <x:v>224.99</x:v>
      </x:c>
      <x:c r="E26" s="35" t="n">
        <x:v>369</x:v>
      </x:c>
      <x:c r="F26" s="36" t="str">
        <x:v>ATH</x:v>
      </x:c>
      <x:c r="G26" s="37" t="n">
        <x:f>1-D26/E26</x:f>
        <x:v>0.3902710027100271</x:v>
      </x:c>
      <x:c r="H26" s="38" t="n">
        <x:v>0.11199999999999999</x:v>
      </x:c>
      <x:c r="I26" s="39" t="n">
        <x:v>9660</x:v>
      </x:c>
      <x:c r="J26" s="40" t="n">
        <x:v>0.45</x:v>
      </x:c>
      <x:c r="K26" s="41" t="n">
        <x:f>IF('Quarterly audit'!K61=1,1+IF('Quarterly audit'!K62=1,1+IF('Quarterly audit'!K63=1,1+IF('Quarterly audit'!K64=1,1,0),0),0),0)</x:f>
        <x:v>4</x:v>
      </x:c>
      <x:c r="L26" s="42" t="str">
        <x:v>Q2 2027</x:v>
      </x:c>
    </x:row>
    <x:row r="27" ht="34" customHeight="1">
      <x:c r="A27" s="30" t="n">
        <x:v>19</x:v>
      </x:c>
      <x:c r="B27" s="30" t="str">
        <x:v>WDAY</x:v>
      </x:c>
      <x:c r="C27" s="30" t="str">
        <x:v>Workday</x:v>
      </x:c>
      <x:c r="D27" s="35" t="n">
        <x:v>186.55</x:v>
      </x:c>
      <x:c r="E27" s="35" t="n">
        <x:v>311.28</x:v>
      </x:c>
      <x:c r="F27" s="36" t="str">
        <x:v>ATH</x:v>
      </x:c>
      <x:c r="G27" s="37" t="n">
        <x:f>1-D27/E27</x:f>
        <x:v>0.40070033410434325</x:v>
      </x:c>
      <x:c r="H27" s="38" t="n">
        <x:v>0.134</x:v>
      </x:c>
      <x:c r="I27" s="39" t="n">
        <x:v>1250</x:v>
      </x:c>
      <x:c r="J27" s="40" t="n">
        <x:v>1.146</x:v>
      </x:c>
      <x:c r="K27" s="41" t="str">
        <x:v>n.a.</x:v>
      </x:c>
      <x:c r="L27" s="42" t="str">
        <x:v>Full streak unverified</x:v>
      </x:c>
    </x:row>
    <x:row r="28" ht="34" customHeight="1">
      <x:c r="A28" s="30" t="n">
        <x:v>20</x:v>
      </x:c>
      <x:c r="B28" s="30" t="str">
        <x:v>TWLO</x:v>
      </x:c>
      <x:c r="C28" s="30" t="str">
        <x:v>Twilio</x:v>
      </x:c>
      <x:c r="D28" s="35" t="n">
        <x:v>280.41</x:v>
      </x:c>
      <x:c r="E28" s="35" t="n">
        <x:v>457.3</x:v>
      </x:c>
      <x:c r="F28" s="36" t="str">
        <x:v>ATH</x:v>
      </x:c>
      <x:c r="G28" s="37" t="n">
        <x:f>1-D28/E28</x:f>
        <x:v>0.38681390771922153</x:v>
      </x:c>
      <x:c r="H28" s="38" t="n">
        <x:v>0.17800000000000002</x:v>
      </x:c>
      <x:c r="I28" s="39" t="n">
        <x:v>1150</x:v>
      </x:c>
      <x:c r="J28" s="40" t="n">
        <x:v>55.745</x:v>
      </x:c>
      <x:c r="K28" s="41" t="str">
        <x:v>n.a.</x:v>
      </x:c>
      <x:c r="L28" s="42" t="str">
        <x:v>Full streak unverified</x:v>
      </x:c>
    </x:row>
    <x:row r="29" ht="34" customHeight="1">
      <x:c r="A29" s="30" t="n">
        <x:v>21</x:v>
      </x:c>
      <x:c r="B29" s="30" t="str">
        <x:v>ESTC</x:v>
      </x:c>
      <x:c r="C29" s="30" t="str">
        <x:v>Elastic</x:v>
      </x:c>
      <x:c r="D29" s="35" t="n">
        <x:v>94.6</x:v>
      </x:c>
      <x:c r="E29" s="35" t="n">
        <x:v>189.84</x:v>
      </x:c>
      <x:c r="F29" s="36" t="str">
        <x:v>ATH</x:v>
      </x:c>
      <x:c r="G29" s="37" t="n">
        <x:f>1-D29/E29</x:f>
        <x:v>0.5016856300042141</x:v>
      </x:c>
      <x:c r="H29" s="38" t="n">
        <x:v>0.162</x:v>
      </x:c>
      <x:c r="I29" s="39" t="n">
        <x:v>375.64</x:v>
      </x:c>
      <x:c r="J29" s="40" t="str">
        <x:v>Turned positive</x:v>
      </x:c>
      <x:c r="K29" s="41" t="str">
        <x:v>n.a.</x:v>
      </x:c>
      <x:c r="L29" s="42" t="str">
        <x:v>Full streak unverified</x:v>
      </x:c>
    </x:row>
    <x:row r="30" ht="34" customHeight="1">
      <x:c r="A30" s="30" t="n">
        <x:v>22</x:v>
      </x:c>
      <x:c r="B30" s="30" t="str">
        <x:v>AFRM</x:v>
      </x:c>
      <x:c r="C30" s="30" t="str">
        <x:v>Affirm</x:v>
      </x:c>
      <x:c r="D30" s="35" t="n">
        <x:v>74.88</x:v>
      </x:c>
      <x:c r="E30" s="35" t="n">
        <x:v>176.65</x:v>
      </x:c>
      <x:c r="F30" s="36" t="str">
        <x:v>ATH</x:v>
      </x:c>
      <x:c r="G30" s="37" t="n">
        <x:f>1-D30/E30</x:f>
        <x:v>0.576110953863572</x:v>
      </x:c>
      <x:c r="H30" s="38" t="n">
        <x:v>0.322</x:v>
      </x:c>
      <x:c r="I30" s="39" t="n">
        <x:v>1930</x:v>
      </x:c>
      <x:c r="J30" s="40" t="n">
        <x:v>35.979</x:v>
      </x:c>
      <x:c r="K30" s="41" t="str">
        <x:v>n.a.</x:v>
      </x:c>
      <x:c r="L30" s="42" t="str">
        <x:v>Full streak unverified</x:v>
      </x:c>
    </x:row>
    <x:row r="31" ht="34" customHeight="1">
      <x:c r="A31" s="30" t="n">
        <x:v>23</x:v>
      </x:c>
      <x:c r="B31" s="30" t="str">
        <x:v>ROP</x:v>
      </x:c>
      <x:c r="C31" s="30" t="str">
        <x:v>Roper Technologies</x:v>
      </x:c>
      <x:c r="D31" s="35" t="n">
        <x:v>362.28</x:v>
      </x:c>
      <x:c r="E31" s="35" t="n">
        <x:v>521.28</x:v>
      </x:c>
      <x:c r="F31" s="36" t="str">
        <x:v>52-week</x:v>
      </x:c>
      <x:c r="G31" s="37" t="n">
        <x:f>1-D31/E31</x:f>
        <x:v>0.3050184162062616</x:v>
      </x:c>
      <x:c r="H31" s="38" t="n">
        <x:v>0.109</x:v>
      </x:c>
      <x:c r="I31" s="39" t="n">
        <x:v>2500</x:v>
      </x:c>
      <x:c r="J31" s="40" t="n">
        <x:v>0.627</x:v>
      </x:c>
      <x:c r="K31" s="41" t="n">
        <x:f>IF('Quarterly audit'!K65=1,1+IF('Quarterly audit'!K66=1,1+IF('Quarterly audit'!K67=1,1+IF('Quarterly audit'!K68=1,1,0),0),0),0)</x:f>
        <x:v>2</x:v>
      </x:c>
      <x:c r="L31" s="42" t="str">
        <x:v>Q2 2026</x:v>
      </x:c>
    </x:row>
    <x:row r="32" ht="34" customHeight="1">
      <x:c r="A32" s="30" t="n">
        <x:v>24</x:v>
      </x:c>
      <x:c r="B32" s="30" t="str">
        <x:v>UPST</x:v>
      </x:c>
      <x:c r="C32" s="30" t="str">
        <x:v>Upstart</x:v>
      </x:c>
      <x:c r="D32" s="35" t="n">
        <x:v>23.86</x:v>
      </x:c>
      <x:c r="E32" s="35" t="n">
        <x:v>55.22</x:v>
      </x:c>
      <x:c r="F32" s="36" t="str">
        <x:v>52-week</x:v>
      </x:c>
      <x:c r="G32" s="37" t="n">
        <x:f>1-D32/E32</x:f>
        <x:v>0.5679101774719304</x:v>
      </x:c>
      <x:c r="H32" s="38" t="n">
        <x:v>0.45299999999999996</x:v>
      </x:c>
      <x:c r="I32" s="39" t="n">
        <x:v>60.33</x:v>
      </x:c>
      <x:c r="J32" s="40" t="str">
        <x:v>Turned positive</x:v>
      </x:c>
      <x:c r="K32" s="41" t="n">
        <x:f>IF('Quarterly audit'!K69=1,1+IF('Quarterly audit'!K70=1,1+IF('Quarterly audit'!K71=1,1+IF('Quarterly audit'!K72=1,1,0),0),0),0)</x:f>
        <x:v>1</x:v>
      </x:c>
      <x:c r="L32" s="42" t="str">
        <x:v>Q2 2026</x:v>
      </x:c>
    </x:row>
    <x:row r="33" ht="34" customHeight="1">
      <x:c r="A33" s="30" t="n">
        <x:v>25</x:v>
      </x:c>
      <x:c r="B33" s="30" t="str">
        <x:v>SMCI</x:v>
      </x:c>
      <x:c r="C33" s="30" t="str">
        <x:v>Super Micro Computer</x:v>
      </x:c>
      <x:c r="D33" s="35" t="n">
        <x:v>43.46</x:v>
      </x:c>
      <x:c r="E33" s="35" t="n">
        <x:v>122.9</x:v>
      </x:c>
      <x:c r="F33" s="36" t="str">
        <x:v>ATH</x:v>
      </x:c>
      <x:c r="G33" s="37" t="n">
        <x:f>1-D33/E33</x:f>
        <x:v>0.6463791700569569</x:v>
      </x:c>
      <x:c r="H33" s="38" t="n">
        <x:v>0.778</x:v>
      </x:c>
      <x:c r="I33" s="39" t="n">
        <x:v>2200</x:v>
      </x:c>
      <x:c r="J33" s="40" t="n">
        <x:v>1.127</x:v>
      </x:c>
      <x:c r="K33" s="41" t="n">
        <x:f>IF('Quarterly audit'!K73=1,1+IF('Quarterly audit'!K74=1,1+IF('Quarterly audit'!K75=1,1+IF('Quarterly audit'!K76=1,1,0),0),0),0)</x:f>
        <x:v>3</x:v>
      </x:c>
      <x:c r="L33" s="42" t="str">
        <x:v>Q4 2026</x:v>
      </x:c>
    </x:row>
    <x:row r="34" ht="34" customHeight="1">
      <x:c r="A34" s="30" t="n">
        <x:v>26</x:v>
      </x:c>
      <x:c r="B34" s="30" t="str">
        <x:v>CVNA</x:v>
      </x:c>
      <x:c r="C34" s="30" t="str">
        <x:v>Carvana</x:v>
      </x:c>
      <x:c r="D34" s="35" t="n">
        <x:v>63.88</x:v>
      </x:c>
      <x:c r="E34" s="35" t="n">
        <x:v>97.38</x:v>
      </x:c>
      <x:c r="F34" s="36" t="str">
        <x:v>52-week</x:v>
      </x:c>
      <x:c r="G34" s="37" t="n">
        <x:f>1-D34/E34</x:f>
        <x:v>0.34401314438283004</x:v>
      </x:c>
      <x:c r="H34" s="38" t="n">
        <x:v>0.54</x:v>
      </x:c>
      <x:c r="I34" s="39" t="n">
        <x:v>1570</x:v>
      </x:c>
      <x:c r="J34" s="40" t="n">
        <x:v>1.785</x:v>
      </x:c>
      <x:c r="K34" s="41" t="n">
        <x:f>IF('Quarterly audit'!K77=1,1+IF('Quarterly audit'!K78=1,1+IF('Quarterly audit'!K79=1,1+IF('Quarterly audit'!K80=1,1,0),0),0),0)</x:f>
        <x:v>4</x:v>
      </x:c>
      <x:c r="L34" s="42" t="str">
        <x:v>Q2 2026</x:v>
      </x:c>
    </x:row>
    <x:row r="35" ht="34" customHeight="1">
      <x:c r="A35" s="30" t="n">
        <x:v>27</x:v>
      </x:c>
      <x:c r="B35" s="30" t="str">
        <x:v>CHWY</x:v>
      </x:c>
      <x:c r="C35" s="30" t="str">
        <x:v>Chewy</x:v>
      </x:c>
      <x:c r="D35" s="35" t="n">
        <x:v>18.14</x:v>
      </x:c>
      <x:c r="E35" s="35" t="n">
        <x:v>39.7</x:v>
      </x:c>
      <x:c r="F35" s="36" t="str">
        <x:v>52-week</x:v>
      </x:c>
      <x:c r="G35" s="37" t="n">
        <x:f>1-D35/E35</x:f>
        <x:v>0.5430730478589421</x:v>
      </x:c>
      <x:c r="H35" s="38" t="n">
        <x:v>0.059000000000000004</x:v>
      </x:c>
      <x:c r="I35" s="39" t="n">
        <x:v>273.7</x:v>
      </x:c>
      <x:c r="J35" s="40" t="n">
        <x:v>0.8109999999999999</x:v>
      </x:c>
      <x:c r="K35" s="41" t="n">
        <x:f>IF('Quarterly audit'!K81=1,1+IF('Quarterly audit'!K82=1,1+IF('Quarterly audit'!K83=1,1+IF('Quarterly audit'!K84=1,1,0),0),0),0)</x:f>
        <x:v>4</x:v>
      </x:c>
      <x:c r="L35" s="42" t="str">
        <x:v>Q2 2027</x:v>
      </x:c>
    </x:row>
    <x:row r="36" ht="34" customHeight="1">
      <x:c r="A36" s="30" t="n">
        <x:v>28</x:v>
      </x:c>
      <x:c r="B36" s="30" t="str">
        <x:v>ONON</x:v>
      </x:c>
      <x:c r="C36" s="30" t="str">
        <x:v>On Holding</x:v>
      </x:c>
      <x:c r="D36" s="35" t="n">
        <x:v>33.13</x:v>
      </x:c>
      <x:c r="E36" s="35" t="n">
        <x:v>51.08</x:v>
      </x:c>
      <x:c r="F36" s="36" t="str">
        <x:v>52-week</x:v>
      </x:c>
      <x:c r="G36" s="37" t="n">
        <x:f>1-D36/E36</x:f>
        <x:v>0.35140955364134685</x:v>
      </x:c>
      <x:c r="H36" s="38" t="n">
        <x:v>0.185</x:v>
      </x:c>
      <x:c r="I36" s="39" t="n">
        <x:v>490.35</x:v>
      </x:c>
      <x:c r="J36" s="40" t="n">
        <x:v>1.915</x:v>
      </x:c>
      <x:c r="K36" s="41" t="str">
        <x:v>n.a.</x:v>
      </x:c>
      <x:c r="L36" s="42" t="str">
        <x:v>Full streak unverified</x:v>
      </x:c>
    </x:row>
    <x:row r="37" ht="34" customHeight="1">
      <x:c r="A37" s="30" t="n">
        <x:v>29</x:v>
      </x:c>
      <x:c r="B37" s="30" t="str">
        <x:v>NOW</x:v>
      </x:c>
      <x:c r="C37" s="30" t="str">
        <x:v>ServiceNow</x:v>
      </x:c>
      <x:c r="D37" s="35" t="n">
        <x:v>137.97</x:v>
      </x:c>
      <x:c r="E37" s="35" t="n">
        <x:v>239.618</x:v>
      </x:c>
      <x:c r="F37" s="36" t="str">
        <x:v>ATH</x:v>
      </x:c>
      <x:c r="G37" s="37" t="n">
        <x:f>1-D37/E37</x:f>
        <x:v>0.42420853191329533</x:v>
      </x:c>
      <x:c r="H37" s="38" t="n">
        <x:v>0.222</x:v>
      </x:c>
      <x:c r="I37" s="39" t="n">
        <x:v>1670</x:v>
      </x:c>
      <x:c r="J37" s="40" t="n">
        <x:v>0.005</x:v>
      </x:c>
      <x:c r="K37" s="41" t="n">
        <x:f>IF('Quarterly audit'!K85=1,1+IF('Quarterly audit'!K86=1,1+IF('Quarterly audit'!K87=1,1+IF('Quarterly audit'!K88=1,1,0),0),0),0)</x:f>
        <x:v>0</x:v>
      </x:c>
      <x:c r="L37" s="42" t="str">
        <x:v>Q2 2026</x:v>
      </x:c>
    </x:row>
    <x:row r="38" ht="34" customHeight="1">
      <x:c r="A38" s="30" t="n">
        <x:v>30</x:v>
      </x:c>
      <x:c r="B38" s="30" t="str">
        <x:v>PYPL</x:v>
      </x:c>
      <x:c r="C38" s="30" t="str">
        <x:v>PayPal</x:v>
      </x:c>
      <x:c r="D38" s="35" t="n">
        <x:v>54.61</x:v>
      </x:c>
      <x:c r="E38" s="35" t="n">
        <x:v>79.22</x:v>
      </x:c>
      <x:c r="F38" s="36" t="str">
        <x:v>52-week</x:v>
      </x:c>
      <x:c r="G38" s="37" t="n">
        <x:f>1-D38/E38</x:f>
        <x:v>0.3106538752840192</x:v>
      </x:c>
      <x:c r="H38" s="38" t="n">
        <x:v>0.057</x:v>
      </x:c>
      <x:c r="I38" s="39" t="n">
        <x:v>4900</x:v>
      </x:c>
      <x:c r="J38" s="40" t="n">
        <x:v>0.048</x:v>
      </x:c>
      <x:c r="K38" s="41" t="n">
        <x:f>IF('Quarterly audit'!K89=1,1+IF('Quarterly audit'!K90=1,1+IF('Quarterly audit'!K91=1,1+IF('Quarterly audit'!K92=1,1,0),0),0),0)</x:f>
        <x:v>0</x:v>
      </x:c>
      <x:c r="L38" s="42" t="str">
        <x:v>Q2 2026</x:v>
      </x:c>
    </x:row>
    <x:row r="39" ht="34" customHeight="1">
      <x:c r="A39" s="30" t="n">
        <x:v>31</x:v>
      </x:c>
      <x:c r="B39" s="30" t="str">
        <x:v>DASH</x:v>
      </x:c>
      <x:c r="C39" s="30" t="str">
        <x:v>DoorDash</x:v>
      </x:c>
      <x:c r="D39" s="35" t="n">
        <x:v>193.62</x:v>
      </x:c>
      <x:c r="E39" s="35" t="n">
        <x:v>285.5</x:v>
      </x:c>
      <x:c r="F39" s="36" t="str">
        <x:v>52-week</x:v>
      </x:c>
      <x:c r="G39" s="37" t="n">
        <x:f>1-D39/E39</x:f>
        <x:v>0.3218213660245184</x:v>
      </x:c>
      <x:c r="H39" s="38" t="n">
        <x:v>0.336</x:v>
      </x:c>
      <x:c r="I39" s="39" t="n">
        <x:v>841</x:v>
      </x:c>
      <x:c r="J39" s="40" t="n">
        <x:v>0.077</x:v>
      </x:c>
      <x:c r="K39" s="41" t="n">
        <x:f>IF('Quarterly audit'!K93=1,1+IF('Quarterly audit'!K94=1,1+IF('Quarterly audit'!K95=1,1+IF('Quarterly audit'!K96=1,1,0),0),0),0)</x:f>
        <x:v>0</x:v>
      </x:c>
      <x:c r="L39" s="42" t="str">
        <x:v>Q2 2026</x:v>
      </x:c>
    </x:row>
    <x:row r="40" ht="34" customHeight="1">
      <x:c r="A40" s="30" t="n">
        <x:v>32</x:v>
      </x:c>
      <x:c r="B40" s="30" t="str">
        <x:v>DECK</x:v>
      </x:c>
      <x:c r="C40" s="30" t="str">
        <x:v>Deckers</x:v>
      </x:c>
      <x:c r="D40" s="35" t="n">
        <x:v>81.66</x:v>
      </x:c>
      <x:c r="E40" s="35" t="n">
        <x:v>122.29</x:v>
      </x:c>
      <x:c r="F40" s="36" t="str">
        <x:v>52-week</x:v>
      </x:c>
      <x:c r="G40" s="37" t="n">
        <x:f>1-D40/E40</x:f>
        <x:v>0.3322430288658108</x:v>
      </x:c>
      <x:c r="H40" s="38" t="n">
        <x:v>0.079</x:v>
      </x:c>
      <x:c r="I40" s="39" t="n">
        <x:v>1010</x:v>
      </x:c>
      <x:c r="J40" s="40" t="n">
        <x:v>0.025</x:v>
      </x:c>
      <x:c r="K40" s="41" t="n">
        <x:f>IF('Quarterly audit'!K97=1,1+IF('Quarterly audit'!K98=1,1+IF('Quarterly audit'!K99=1,1+IF('Quarterly audit'!K100=1,1,0),0),0),0)</x:f>
        <x:v>0</x:v>
      </x:c>
      <x:c r="L40" s="42" t="str">
        <x:v>Q1 2027</x:v>
      </x:c>
    </x:row>
    <x:row r="41" ht="34" customHeight="1">
      <x:c r="A41" s="30" t="n">
        <x:v>33</x:v>
      </x:c>
      <x:c r="B41" s="30" t="str">
        <x:v>FSLR</x:v>
      </x:c>
      <x:c r="C41" s="30" t="str">
        <x:v>First Solar</x:v>
      </x:c>
      <x:c r="D41" s="35" t="n">
        <x:v>179.8</x:v>
      </x:c>
      <x:c r="E41" s="35" t="n">
        <x:v>320.95</x:v>
      </x:c>
      <x:c r="F41" s="36" t="str">
        <x:v>52-week</x:v>
      </x:c>
      <x:c r="G41" s="37" t="n">
        <x:f>1-D41/E41</x:f>
        <x:v>0.43978812899205477</x:v>
      </x:c>
      <x:c r="H41" s="38" t="n">
        <x:v>0.23800000000000002</x:v>
      </x:c>
      <x:c r="I41" s="39" t="n">
        <x:v>1750</x:v>
      </x:c>
      <x:c r="J41" s="40" t="n">
        <x:v>0.389</x:v>
      </x:c>
      <x:c r="K41" s="41" t="n">
        <x:f>IF('Quarterly audit'!K101=1,1+IF('Quarterly audit'!K102=1,1+IF('Quarterly audit'!K103=1,1+IF('Quarterly audit'!K104=1,1,0),0),0),0)</x:f>
        <x:v>0</x:v>
      </x:c>
      <x:c r="L41" s="42" t="str">
        <x:v>Q2 2026</x:v>
      </x:c>
    </x:row>
    <x:row r="42" ht="34" customHeight="1">
      <x:c r="A42" s="30" t="n">
        <x:v>34</x:v>
      </x:c>
      <x:c r="B42" s="30" t="str">
        <x:v>CGNX</x:v>
      </x:c>
      <x:c r="C42" s="30" t="str">
        <x:v>Cognex</x:v>
      </x:c>
      <x:c r="D42" s="35" t="n">
        <x:v>66.35</x:v>
      </x:c>
      <x:c r="E42" s="35" t="n">
        <x:v>101.82</x:v>
      </x:c>
      <x:c r="F42" s="36" t="str">
        <x:v>ATH</x:v>
      </x:c>
      <x:c r="G42" s="37" t="n">
        <x:f>1-D42/E42</x:f>
        <x:v>0.3483598507169515</x:v>
      </x:c>
      <x:c r="H42" s="38" t="n">
        <x:v>0.171</x:v>
      </x:c>
      <x:c r="I42" s="39" t="n">
        <x:v>174.79</x:v>
      </x:c>
      <x:c r="J42" s="40" t="n">
        <x:v>0.43200000000000005</x:v>
      </x:c>
      <x:c r="K42" s="41" t="str">
        <x:v>n.a.</x:v>
      </x:c>
      <x:c r="L42" s="42" t="str">
        <x:v>Full streak unverified</x:v>
      </x:c>
    </x:row>
    <x:row r="43" ht="34" customHeight="1">
      <x:c r="A43" s="30" t="n">
        <x:v>35</x:v>
      </x:c>
      <x:c r="B43" s="30" t="str">
        <x:v>NSIT</x:v>
      </x:c>
      <x:c r="C43" s="30" t="str">
        <x:v>Insight Enterprises</x:v>
      </x:c>
      <x:c r="D43" s="35" t="n">
        <x:v>159.49</x:v>
      </x:c>
      <x:c r="E43" s="35" t="n">
        <x:v>228.07</x:v>
      </x:c>
      <x:c r="F43" s="36" t="str">
        <x:v>ATH</x:v>
      </x:c>
      <x:c r="G43" s="37" t="n">
        <x:f>1-D43/E43</x:f>
        <x:v>0.3006971543824264</x:v>
      </x:c>
      <x:c r="H43" s="38" t="n">
        <x:v>0.027000000000000003</x:v>
      </x:c>
      <x:c r="I43" s="39" t="n">
        <x:v>210.48</x:v>
      </x:c>
      <x:c r="J43" s="40" t="n">
        <x:v>0.406</x:v>
      </x:c>
      <x:c r="K43" s="41" t="str">
        <x:v>n.a.</x:v>
      </x:c>
      <x:c r="L43" s="42" t="str">
        <x:v>Full streak unverified</x:v>
      </x:c>
    </x:row>
    <x:row r="44" ht="34" customHeight="1">
      <x:c r="A44" s="30" t="n">
        <x:v>36</x:v>
      </x:c>
      <x:c r="B44" s="30" t="str">
        <x:v>DG</x:v>
      </x:c>
      <x:c r="C44" s="30" t="str">
        <x:v>Dollar General</x:v>
      </x:c>
      <x:c r="D44" s="35" t="n">
        <x:v>123.27</x:v>
      </x:c>
      <x:c r="E44" s="35" t="n">
        <x:v>262.2</x:v>
      </x:c>
      <x:c r="F44" s="36" t="str">
        <x:v>ATH</x:v>
      </x:c>
      <x:c r="G44" s="37" t="n">
        <x:f>1-D44/E44</x:f>
        <x:v>0.529862700228833</x:v>
      </x:c>
      <x:c r="H44" s="38" t="n">
        <x:v>0.048</x:v>
      </x:c>
      <x:c r="I44" s="39" t="n">
        <x:v>1700</x:v>
      </x:c>
      <x:c r="J44" s="40" t="n">
        <x:v>0.43</x:v>
      </x:c>
      <x:c r="K44" s="41" t="str">
        <x:v>n.a.</x:v>
      </x:c>
      <x:c r="L44" s="42" t="str">
        <x:v>Full streak unverified</x:v>
      </x:c>
    </x:row>
  </x:sheetData>
  <x:mergeCells>
    <x:mergeCell ref="A1:L1"/>
    <x:mergeCell ref="A2:L2"/>
    <x:mergeCell ref="A3:L3"/>
    <x:mergeCell ref="A4:L4"/>
    <x:mergeCell ref="A5:L5"/>
    <x:mergeCell ref="A6:L6"/>
    <x:mergeCell ref="A7:L7"/>
  </x:mergeCells>
  <x:pageMargins left="0.7" right="0.7" top="0.75" bottom="0.75" header="0.3" footer="0.3"/>
  <x:tableParts count="1">
    <x:tablePart xmlns:r="http://schemas.openxmlformats.org/officeDocument/2006/relationships" r:id="R5a15e42c963c4097"/>
  </x:tableParts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8" hidden="0" customWidth="1"/>
    <x:col min="3" max="3" width="39" hidden="0" customWidth="1"/>
    <x:col min="4" max="4" width="35" hidden="0" customWidth="1"/>
    <x:col min="5" max="5" width="46" hidden="0" customWidth="1"/>
    <x:col min="6" max="6" width="42" hidden="0" customWidth="1"/>
    <x:col min="7" max="7" width="48" hidden="0" customWidth="1"/>
    <x:col min="8" max="8" width="41" hidden="0" customWidth="1"/>
    <x:col min="9" max="9" width="43" hidden="0" customWidth="1"/>
    <x:col min="10" max="10" width="46" hidden="0" customWidth="1"/>
  </x:cols>
  <x:sheetData>
    <x:row r="1" ht="32" customHeight="1">
      <x:c r="A1" s="29" t="str">
        <x:v>Company catalysts, exceptions and sources</x:v>
      </x:c>
      <x:c r="B1" s="30"/>
      <x:c r="C1" s="30"/>
      <x:c r="D1" s="30"/>
      <x:c r="E1" s="30"/>
      <x:c r="F1" s="30"/>
      <x:c r="G1" s="30"/>
      <x:c r="H1" s="30"/>
      <x:c r="I1" s="30"/>
      <x:c r="J1" s="30"/>
    </x:row>
    <x:row r="2" ht="28" customHeight="1">
      <x:c r="A2" s="31" t="str">
        <x:v>Catalysts are operating theses to monitor over the 2026–2028 horizon. Their timing and effect on share prices are uncertain.</x:v>
      </x:c>
      <x:c r="B2" s="30"/>
      <x:c r="C2" s="30"/>
      <x:c r="D2" s="30"/>
      <x:c r="E2" s="30"/>
      <x:c r="F2" s="30"/>
      <x:c r="G2" s="30"/>
      <x:c r="H2" s="30"/>
      <x:c r="I2" s="30"/>
      <x:c r="J2" s="30"/>
    </x:row>
    <x:row r="3" ht="28" customHeight="1">
      <x:c r="A3" s="31" t="str">
        <x:v>Source priority: issuer earnings releases / SEC filings for earnings quality and catalysts; standardized Stock Analysis data for the broad TTM screen.</x:v>
      </x:c>
      <x:c r="B3" s="30"/>
      <x:c r="C3" s="30"/>
      <x:c r="D3" s="30"/>
      <x:c r="E3" s="30"/>
      <x:c r="F3" s="30"/>
      <x:c r="G3" s="30"/>
      <x:c r="H3" s="30"/>
      <x:c r="I3" s="30"/>
      <x:c r="J3" s="30"/>
    </x:row>
    <x:row r="4" ht="28" customHeight="1">
      <x:c r="A4" s="31" t="str">
        <x:v>High bases are 52-week highs or older ATHs, as labeled. ATH vendors can differ for splits/dividends; use split-adjusted charts and standard option deliverables.</x:v>
      </x:c>
      <x:c r="B4" s="30"/>
      <x:c r="C4" s="30"/>
      <x:c r="D4" s="30"/>
      <x:c r="E4" s="30"/>
      <x:c r="F4" s="30"/>
      <x:c r="G4" s="30"/>
      <x:c r="H4" s="30"/>
      <x:c r="I4" s="30"/>
      <x:c r="J4" s="30"/>
    </x:row>
    <x:row r="5" ht="28" customHeight="1">
      <x:c r="A5" s="31" t="str">
        <x:v>Option dates only confirm an indexed listing. Public snapshots may be delayed or stale; a listed expiry does not establish executable liquidity.</x:v>
      </x:c>
      <x:c r="B5" s="30"/>
      <x:c r="C5" s="30"/>
      <x:c r="D5" s="30"/>
      <x:c r="E5" s="30"/>
      <x:c r="F5" s="30"/>
      <x:c r="G5" s="30"/>
      <x:c r="H5" s="30"/>
      <x:c r="I5" s="30"/>
      <x:c r="J5" s="30"/>
    </x:row>
    <x:row r="6" ht="28" customHeight="1">
      <x:c r="A6" s="31" t="str">
        <x:v>Profits helped by tax releases or investment gains receive lower priority. Macro-, credit-, tariff- or subsidy-driven theses also receive lower priority.</x:v>
      </x:c>
      <x:c r="B6" s="30"/>
      <x:c r="C6" s="30"/>
      <x:c r="D6" s="30"/>
      <x:c r="E6" s="30"/>
      <x:c r="F6" s="30"/>
      <x:c r="G6" s="30"/>
      <x:c r="H6" s="30"/>
      <x:c r="I6" s="30"/>
      <x:c r="J6" s="30"/>
    </x:row>
    <x:row r="7" ht="28" customHeight="1">
      <x:c r="A7" s="31" t="str">
        <x:v>Blank option-source cells mean no long-dated listing was confirmed in this review. Never substitute an unverified contract.</x:v>
      </x:c>
      <x:c r="B7" s="30"/>
      <x:c r="C7" s="30"/>
      <x:c r="D7" s="30"/>
      <x:c r="E7" s="30"/>
      <x:c r="F7" s="30"/>
      <x:c r="G7" s="30"/>
      <x:c r="H7" s="30"/>
      <x:c r="I7" s="30"/>
      <x:c r="J7" s="30"/>
    </x:row>
    <x:row r="8" ht="38" customHeight="1">
      <x:c r="A8" s="32" t="str">
        <x:v>Rank</x:v>
      </x:c>
      <x:c r="B8" s="32" t="str">
        <x:v>Ticker</x:v>
      </x:c>
      <x:c r="C8" s="32" t="str">
        <x:v>Catalyst to monitor</x:v>
      </x:c>
      <x:c r="D8" s="32" t="str">
        <x:v>Main risk</x:v>
      </x:c>
      <x:c r="E8" s="32" t="str">
        <x:v>Earnings quality / exception</x:v>
      </x:c>
      <x:c r="F8" s="32" t="str">
        <x:v>Options review</x:v>
      </x:c>
      <x:c r="G8" s="32" t="str">
        <x:v>Issuer / SEC source</x:v>
      </x:c>
      <x:c r="H8" s="32" t="str">
        <x:v>Screen / financial source</x:v>
      </x:c>
      <x:c r="I8" s="32" t="str">
        <x:v>High reference source</x:v>
      </x:c>
      <x:c r="J8" s="32" t="str">
        <x:v>Options listing source</x:v>
      </x:c>
    </x:row>
    <x:row r="9" ht="110" customHeight="1">
      <x:c r="A9" s="42" t="n">
        <x:v>1</x:v>
      </x:c>
      <x:c r="B9" s="42" t="str">
        <x:v>RDDT</x:v>
      </x:c>
      <x:c r="C9" s="42" t="str">
        <x:v>Ad monetization, international users and data-licensing opportunities.</x:v>
      </x:c>
      <x:c r="D9" s="42" t="str">
        <x:v>Search referral traffic and very thin open interest in some Jan 2029 calls.</x:v>
      </x:c>
      <x:c r="E9" s="42" t="str">
        <x:v>Four rising/profitable YoY quarters; fast growth remains dependent on ads.</x:v>
      </x:c>
      <x:c r="F9" s="42" t="str">
        <x:v>Jan 2029 listed; sampled 150 call OI 38, spread $3.65. Quotes undated. Massive independently confirmed a standard 100-share Jan 2029 call listing.</x:v>
      </x:c>
      <x:c r="G9" s="43" t="str">
        <x:v>https://investor.redditinc.com/news-events/news-releases/news-details/2026/Reddit-Reports-Second-Quarter-2026-Results/default.aspx</x:v>
      </x:c>
      <x:c r="H9" s="43" t="str">
        <x:v>https://stockanalysis.com/stocks/rddt/</x:v>
      </x:c>
      <x:c r="I9" s="43" t="str">
        <x:v>https://stockanalysis.com/stocks/rddt/</x:v>
      </x:c>
      <x:c r="J9" s="43" t="str">
        <x:v>https://whalequant.io/en/stocks/RDDT/options/2029-01-19 | Massive /v3/reference/options/contracts (2026-10-07)</x:v>
      </x:c>
    </x:row>
    <x:row r="10" ht="110" customHeight="1">
      <x:c r="A10" s="42" t="n">
        <x:v>2</x:v>
      </x:c>
      <x:c r="B10" s="42" t="str">
        <x:v>ORCL</x:v>
      </x:c>
      <x:c r="C10" s="42" t="str">
        <x:v>AI cloud capacity and conversion of contracted demand into revenue.</x:v>
      </x:c>
      <x:c r="D10" s="42" t="str">
        <x:v>Debt, capital spending, cash flow and equity dilution.</x:v>
      </x:c>
      <x:c r="E10" s="42" t="str">
        <x:v>Four rising/profitable YoY quarters; net income does not capture the funding burden.</x:v>
      </x:c>
      <x:c r="F10" s="42" t="str">
        <x:v>Jan 2029 listed; retrieved chain spot is stale. Massive independently confirmed a standard 100-share Jan 2029 call listing.</x:v>
      </x:c>
      <x:c r="G10" s="43" t="str">
        <x:v>https://www.sec.gov/Archives/edgar/data/1341439/000119312526387905/orcl-ex99_1.htm</x:v>
      </x:c>
      <x:c r="H10" s="43" t="str">
        <x:v>https://stockanalysis.com/stocks/orcl/</x:v>
      </x:c>
      <x:c r="I10" s="43" t="str">
        <x:v>https://stockanalysis.com/stocks/orcl/</x:v>
      </x:c>
      <x:c r="J10" s="43" t="str">
        <x:v>https://m.stockoptionschannel.com/symbol/orcl/?month=20290119&amp;symbol=ORCL&amp;type=call | Massive /v3/reference/options/contracts (2026-10-07)</x:v>
      </x:c>
    </x:row>
    <x:row r="11" ht="110" customHeight="1">
      <x:c r="A11" s="42" t="n">
        <x:v>3</x:v>
      </x:c>
      <x:c r="B11" s="42" t="str">
        <x:v>IOT</x:v>
      </x:c>
      <x:c r="C11" s="42" t="str">
        <x:v>AI fleet safety, connected operations and large-customer expansion.</x:v>
      </x:c>
      <x:c r="D11" s="42" t="str">
        <x:v>Early GAAP profitability, stock compensation and enterprise spending.</x:v>
      </x:c>
      <x:c r="E11" s="42" t="str">
        <x:v>Four consecutive GAAP-profitable quarters; all improved from year-earlier losses.</x:v>
      </x:c>
      <x:c r="F11" s="42" t="str">
        <x:v>Jan 2028 and Jan 2029 listed. Massive independently confirmed a standard 100-share Jan 2029 call listing.</x:v>
      </x:c>
      <x:c r="G11" s="43" t="str">
        <x:v>https://www.sec.gov/Archives/edgar/data/1642896/000162828026060438/samsaraepr-q22027.htm</x:v>
      </x:c>
      <x:c r="H11" s="43" t="str">
        <x:v>https://stockanalysis.com/stocks/iot/</x:v>
      </x:c>
      <x:c r="I11" s="43" t="str">
        <x:v>https://www.tradingview.com/symbols/NYSE-IOT/</x:v>
      </x:c>
      <x:c r="J11" s="43" t="str">
        <x:v>https://public.com/stocks/iot/options-chain?expiration=2029-01-19 | Massive /v3/reference/options/contracts (2026-10-07)</x:v>
      </x:c>
    </x:row>
    <x:row r="12" ht="110" customHeight="1">
      <x:c r="A12" s="42" t="n">
        <x:v>4</x:v>
      </x:c>
      <x:c r="B12" s="42" t="str">
        <x:v>ADBE</x:v>
      </x:c>
      <x:c r="C12" s="42" t="str">
        <x:v>Firefly and Acrobat AI monetization; subscription growth.</x:v>
      </x:c>
      <x:c r="D12" s="42" t="str">
        <x:v>AI competition and slower profit growth than revenue growth.</x:v>
      </x:c>
      <x:c r="E12" s="42" t="str">
        <x:v>Four rising/profitable YoY quarters, but profit growth is modest.</x:v>
      </x:c>
      <x:c r="F12" s="42" t="str">
        <x:v>Jan 2028 and Dec 2028 listed; Jan 2029 also indexed. Massive independently confirmed a standard 100-share Jan 2029 call listing.</x:v>
      </x:c>
      <x:c r="G12" s="43" t="str">
        <x:v>https://www.adobe.com/cc-shared/assets/investor-relations/pdfs/01906202/au56y4ter.pdf</x:v>
      </x:c>
      <x:c r="H12" s="43" t="str">
        <x:v>https://stockanalysis.com/stocks/adbe/</x:v>
      </x:c>
      <x:c r="I12" s="43" t="str">
        <x:v>https://stockanalysis.com/stocks/adbe/</x:v>
      </x:c>
      <x:c r="J12" s="43" t="str">
        <x:v>https://public.com/stocks/adbe/options-chain?expiration=2028-01-21 | Massive /v3/reference/options/contracts (2026-10-07)</x:v>
      </x:c>
    </x:row>
    <x:row r="13" ht="110" customHeight="1">
      <x:c r="A13" s="42" t="n">
        <x:v>5</x:v>
      </x:c>
      <x:c r="B13" s="42" t="str">
        <x:v>ADSK</x:v>
      </x:c>
      <x:c r="C13" s="42" t="str">
        <x:v>AI design/construction workflows, direct sales and MaintainX integration.</x:v>
      </x:c>
      <x:c r="D13" s="42" t="str">
        <x:v>Construction/manufacturing demand and acquisition integration.</x:v>
      </x:c>
      <x:c r="E13" s="42" t="str">
        <x:v>Four rising/profitable YoY quarters; acquisition contribution and lower tax rate help latest growth.</x:v>
      </x:c>
      <x:c r="F13" s="42" t="str">
        <x:v>Jan 2029 listing indexed; strike liquidity unverified.</x:v>
      </x:c>
      <x:c r="G13" s="43" t="str">
        <x:v>https://www.sec.gov/Archives/edgar/data/769397/000076939726000059/q227pressrelease.htm</x:v>
      </x:c>
      <x:c r="H13" s="43" t="str">
        <x:v>https://stockanalysis.com/stocks/adsk/</x:v>
      </x:c>
      <x:c r="I13" s="43" t="str">
        <x:v>https://stockscan.io/stocks/ADSK/price-history</x:v>
      </x:c>
      <x:c r="J13" s="43" t="str">
        <x:v>https://fintel.io/sopt/us/adsk</x:v>
      </x:c>
    </x:row>
    <x:row r="14" ht="110" customHeight="1">
      <x:c r="A14" s="42" t="n">
        <x:v>6</x:v>
      </x:c>
      <x:c r="B14" s="42" t="str">
        <x:v>APP</x:v>
      </x:c>
      <x:c r="C14" s="42" t="str">
        <x:v>AI ads; Axon expansion into e-commerce/non-gaming advertisers.</x:v>
      </x:c>
      <x:c r="D14" s="42" t="str">
        <x:v>Recent litigation announcements, privacy/ad platform dependence, execution and expensive option volatility.</x:v>
      </x:c>
      <x:c r="E14" s="42" t="str">
        <x:v>Four rising/profitable YoY quarters. Continuing-operations comparisons reflect the apps divestiture. Recent securities/public-protection litigation headlines add event risk; allegations are unproven.</x:v>
      </x:c>
      <x:c r="F14" s="42" t="str">
        <x:v>Jan 2029 listed; verify live strike spreads. Massive independently confirmed a standard 100-share Jan 2029 call listing.</x:v>
      </x:c>
      <x:c r="G14" s="43" t="str">
        <x:v>https://investors.applovin.com/news/news-details/2026/AppLovin-Announces-Second-Quarter-2026-Financial-Results/default.aspx | https://pr.timesofsandiego.com/article/AppLovin-Corporation-APP-Securities-Fraud-Class-Action-Lawsuit-Filed-November-16-2026-Lead-Plaintiff-Deadline/6ac11ccda74253059c7700b8</x:v>
      </x:c>
      <x:c r="H14" s="43" t="str">
        <x:v>https://stockanalysis.com/stocks/app/</x:v>
      </x:c>
      <x:c r="I14" s="43" t="str">
        <x:v>https://stockanalysis.com/stocks/app/</x:v>
      </x:c>
      <x:c r="J14" s="43" t="str">
        <x:v>https://whalequant.io/en/stocks/APP/options/2029-01-19 | Massive /v3/reference/options/contracts (2026-10-07)</x:v>
      </x:c>
    </x:row>
    <x:row r="15" ht="110" customHeight="1">
      <x:c r="A15" s="42" t="n">
        <x:v>7</x:v>
      </x:c>
      <x:c r="B15" s="42" t="str">
        <x:v>ACN</x:v>
      </x:c>
      <x:c r="C15" s="42" t="str">
        <x:v>AI implementation bookings converting into consulting and managed-services revenue.</x:v>
      </x:c>
      <x:c r="D15" s="42" t="str">
        <x:v>Corporate spending and AI pressure on labor-based fees.</x:v>
      </x:c>
      <x:c r="E15" s="42" t="str">
        <x:v>Three consecutive rising/profitable YoY quarters; slower sales growth.</x:v>
      </x:c>
      <x:c r="F15" s="42" t="str">
        <x:v>Jan 2028 listed; prefer live broker quotes.</x:v>
      </x:c>
      <x:c r="G15" s="43" t="str">
        <x:v>https://newsroom.accenture.com/news/2026/accenture-reports-fourth-quarter-and-full-year-fiscal-2026-results</x:v>
      </x:c>
      <x:c r="H15" s="43" t="str">
        <x:v>https://stockanalysis.com/stocks/acn/</x:v>
      </x:c>
      <x:c r="I15" s="43" t="str">
        <x:v>https://stockanalysis.com/stocks/acn/</x:v>
      </x:c>
      <x:c r="J15" s="43" t="str">
        <x:v>https://whalequant.io/en/stocks/ACN/options/2028-01-21</x:v>
      </x:c>
    </x:row>
    <x:row r="16" ht="110" customHeight="1">
      <x:c r="A16" s="42" t="n">
        <x:v>8</x:v>
      </x:c>
      <x:c r="B16" s="42" t="str">
        <x:v>SAP</x:v>
      </x:c>
      <x:c r="C16" s="42" t="str">
        <x:v>Cloud ERP migrations and Joule AI adoption.</x:v>
      </x:c>
      <x:c r="D16" s="42" t="str">
        <x:v>FX, enterprise budgets and limited U.S. long-dated options.</x:v>
      </x:c>
      <x:c r="E16" s="42" t="str">
        <x:v>Four rising/profitable YoY quarters. TTM screen translated to USD; quarterly audit in EUR.</x:v>
      </x:c>
      <x:c r="F16" s="42" t="str">
        <x:v>Massive confirmed standard 100-share Jan 19, 2029 calls. Liquidity unverified.</x:v>
      </x:c>
      <x:c r="G16" s="43" t="str">
        <x:v>https://news.sap.com/2026/07/sap-announces-q2-and-half-year-2026-results/</x:v>
      </x:c>
      <x:c r="H16" s="43" t="str">
        <x:v>https://stockanalysis.com/stocks/sap/</x:v>
      </x:c>
      <x:c r="I16" s="43" t="str">
        <x:v>https://stockscan.io/stocks/SAP/price-history</x:v>
      </x:c>
      <x:c r="J16" s="43" t="str">
        <x:v>Massive: /v3/reference/options/contracts; SAP; retrieved 2026-10-07</x:v>
      </x:c>
    </x:row>
    <x:row r="17" ht="110" customHeight="1">
      <x:c r="A17" s="42" t="n">
        <x:v>9</x:v>
      </x:c>
      <x:c r="B17" s="42" t="str">
        <x:v>ISRG</x:v>
      </x:c>
      <x:c r="C17" s="42" t="str">
        <x:v>Da Vinci 5 replacement cycle and procedure-driven instrument revenue.</x:v>
      </x:c>
      <x:c r="D17" s="42" t="str">
        <x:v>Hospital capital spending, medical-device supply costs and valuation.</x:v>
      </x:c>
      <x:c r="E17" s="42" t="str">
        <x:v>Four rising/profitable YoY quarters. Primarily a surgical growth thesis.</x:v>
      </x:c>
      <x:c r="F17" s="42" t="str">
        <x:v>Jan 2028 listed; some indexed spreads wide.</x:v>
      </x:c>
      <x:c r="G17" s="43" t="str">
        <x:v>https://investor.intuitivesurgical.com/news-releases/news-release-details/intuitive-announces-second-quarter-earnings-6</x:v>
      </x:c>
      <x:c r="H17" s="43" t="str">
        <x:v>https://stockanalysis.com/stocks/isrg/</x:v>
      </x:c>
      <x:c r="I17" s="43" t="str">
        <x:v>https://stockanalysis.com/stocks/isrg/</x:v>
      </x:c>
      <x:c r="J17" s="43" t="str">
        <x:v>https://whalequant.io/en/stocks/ISRG/options/2028-01-21</x:v>
      </x:c>
    </x:row>
    <x:row r="18" ht="110" customHeight="1">
      <x:c r="A18" s="42" t="n">
        <x:v>10</x:v>
      </x:c>
      <x:c r="B18" s="42" t="str">
        <x:v>MNDY</x:v>
      </x:c>
      <x:c r="C18" s="42" t="str">
        <x:v>AI agents and CRM/service cross-selling to large customers.</x:v>
      </x:c>
      <x:c r="D18" s="42" t="str">
        <x:v>Decelerating growth, AI competition and thin far-dated options.</x:v>
      </x:c>
      <x:c r="E18" s="42" t="str">
        <x:v>TTM profit rises; full four-quarter GAAP consistency not verified.</x:v>
      </x:c>
      <x:c r="F18" s="42" t="str">
        <x:v>Jan 2028/2029 listed. Indexed Jan 2029 total OI only 9.</x:v>
      </x:c>
      <x:c r="G18" s="43" t="str">
        <x:v>https://monday.com/p/press-release/monday-com-announces-second-quarter-2026-results/</x:v>
      </x:c>
      <x:c r="H18" s="43" t="str">
        <x:v>https://stockanalysis.com/stocks/mndy/</x:v>
      </x:c>
      <x:c r="I18" s="43" t="str">
        <x:v>https://stockanalysis.com/stocks/mndy/</x:v>
      </x:c>
      <x:c r="J18" s="43" t="str">
        <x:v>https://chartexchange.com/symbol/nasdaq-mndy/optionchain/summary/</x:v>
      </x:c>
    </x:row>
    <x:row r="19" ht="110" customHeight="1">
      <x:c r="A19" s="42" t="n">
        <x:v>11</x:v>
      </x:c>
      <x:c r="B19" s="42" t="str">
        <x:v>HUBS</x:v>
      </x:c>
      <x:c r="C19" s="42" t="str">
        <x:v>Breeze AI agents, multi-product CRM adoption and larger customers.</x:v>
      </x:c>
      <x:c r="D19" s="42" t="str">
        <x:v>SMB budgets and AI competition.</x:v>
      </x:c>
      <x:c r="E19" s="42" t="str">
        <x:v>Recently positive TTM profit; latest four-quarter GAAP streak not verified.</x:v>
      </x:c>
      <x:c r="F19" s="42" t="str">
        <x:v>Jan 2029 listed; liquidity unverified.</x:v>
      </x:c>
      <x:c r="G19" s="43" t="str">
        <x:v>https://www.sec.gov/Archives/edgar/data/1404655/000119312526335148/hubs-ex99_1.htm</x:v>
      </x:c>
      <x:c r="H19" s="43" t="str">
        <x:v>https://stockanalysis.com/stocks/hubs/</x:v>
      </x:c>
      <x:c r="I19" s="43" t="str">
        <x:v>https://stockanalysis.com/stocks/hubs/</x:v>
      </x:c>
      <x:c r="J19" s="43" t="str">
        <x:v>https://optioncharts.io/options/HUBS/unusual-options</x:v>
      </x:c>
    </x:row>
    <x:row r="20" ht="110" customHeight="1">
      <x:c r="A20" s="42" t="n">
        <x:v>12</x:v>
      </x:c>
      <x:c r="B20" s="42" t="str">
        <x:v>MDB</x:v>
      </x:c>
      <x:c r="C20" s="42" t="str">
        <x:v>Atlas cloud database and AI/vector-search workloads.</x:v>
      </x:c>
      <x:c r="D20" s="42" t="str">
        <x:v>Competition, leadership execution and early profitability.</x:v>
      </x:c>
      <x:c r="E20" s="42" t="str">
        <x:v>Only two latest quarters meet the rising/profitable YoY test; older quarters mixed.</x:v>
      </x:c>
      <x:c r="F20" s="42" t="str">
        <x:v>Long-dated expiration not checked.</x:v>
      </x:c>
      <x:c r="G20" s="43" t="str">
        <x:v>https://investors.mongodb.com/news-releases/news-release-details/mongodb-inc-announces-second-quarter-fiscal-2027-financial</x:v>
      </x:c>
      <x:c r="H20" s="43" t="str">
        <x:v>https://stockanalysis.com/stocks/mdb/</x:v>
      </x:c>
      <x:c r="I20" s="43" t="str">
        <x:v>https://stockscan.io/stocks/MDB/price-history</x:v>
      </x:c>
      <x:c r="J20" s="43" t="str">
        <x:v>Not verified</x:v>
      </x:c>
    </x:row>
    <x:row r="21" ht="110" customHeight="1">
      <x:c r="A21" s="42" t="n">
        <x:v>13</x:v>
      </x:c>
      <x:c r="B21" s="42" t="str">
        <x:v>INTU</x:v>
      </x:c>
      <x:c r="C21" s="42" t="str">
        <x:v>AI accounting/tax agents and midmarket Enterprise Suite adoption.</x:v>
      </x:c>
      <x:c r="D21" s="42" t="str">
        <x:v>AI disruption and weakening growth expectations.</x:v>
      </x:c>
      <x:c r="E21" s="42" t="str">
        <x:v>TTM profit rises, but latest fiscal Q4 net income declined YoY.</x:v>
      </x:c>
      <x:c r="F21" s="42" t="str">
        <x:v>Jan 2028 listed; Jan 2029 also indexed.</x:v>
      </x:c>
      <x:c r="G21" s="43" t="str">
        <x:v>https://investors.intuit.com/news-events/press-releases/detail/1320/intuit-reports-fourth-quarter-and-full-year-fiscal-2026-results-sets-fiscal-2027-guidance</x:v>
      </x:c>
      <x:c r="H21" s="43" t="str">
        <x:v>https://stockanalysis.com/stocks/intu/</x:v>
      </x:c>
      <x:c r="I21" s="43" t="str">
        <x:v>https://stockanalysis.com/stocks/intu/</x:v>
      </x:c>
      <x:c r="J21" s="43" t="str">
        <x:v>https://public.com/stocks/intu/options-chain?expiration=2026-10-09</x:v>
      </x:c>
    </x:row>
    <x:row r="22" ht="110" customHeight="1">
      <x:c r="A22" s="42" t="n">
        <x:v>14</x:v>
      </x:c>
      <x:c r="B22" s="42" t="str">
        <x:v>SOFI</x:v>
      </x:c>
      <x:c r="C22" s="42" t="str">
        <x:v>Fee-based loan platform, member growth and product cross-selling.</x:v>
      </x:c>
      <x:c r="D22" s="42" t="str">
        <x:v>Consumer credit, funding conditions and dilution.</x:v>
      </x:c>
      <x:c r="E22" s="42" t="str">
        <x:v>Two latest quarters improve YoY; Q4 comparison depressed by prior-year tax benefit.</x:v>
      </x:c>
      <x:c r="F22" s="42" t="str">
        <x:v>Jan 2029 listed; sampled 15 call OI 1,735, bid/ask 6.15/6.35. Quotes undated.</x:v>
      </x:c>
      <x:c r="G22" s="43" t="str">
        <x:v>https://s27.q4cdn.com/749715820/files/doc_financials/2026/q2/2026-Q2-Earnings-Release.pdf</x:v>
      </x:c>
      <x:c r="H22" s="43" t="str">
        <x:v>https://stockanalysis.com/stocks/sofi/</x:v>
      </x:c>
      <x:c r="I22" s="43" t="str">
        <x:v>https://stockanalysis.com/stocks/sofi/</x:v>
      </x:c>
      <x:c r="J22" s="43" t="str">
        <x:v>https://whalequant.io/en/stocks/SOFI/options/2029-01-19</x:v>
      </x:c>
    </x:row>
    <x:row r="23" ht="110" customHeight="1">
      <x:c r="A23" s="42" t="n">
        <x:v>15</x:v>
      </x:c>
      <x:c r="B23" s="42" t="str">
        <x:v>TOST</x:v>
      </x:c>
      <x:c r="C23" s="42" t="str">
        <x:v>Restaurant locations, software upsell and recurring gross-profit expansion.</x:v>
      </x:c>
      <x:c r="D23" s="42" t="str">
        <x:v>Restaurant demand and merchant economics.</x:v>
      </x:c>
      <x:c r="E23" s="42" t="str">
        <x:v>TTM profit rising; latest four-quarter GAAP streak not verified.</x:v>
      </x:c>
      <x:c r="F23" s="42" t="str">
        <x:v>Long-dated expiration not checked.</x:v>
      </x:c>
      <x:c r="G23" s="43" t="str">
        <x:v>https://www.sec.gov/Archives/edgar/data/1650164/000165016426000162/tost-20260630xexhibit991.htm</x:v>
      </x:c>
      <x:c r="H23" s="43" t="str">
        <x:v>https://stockanalysis.com/stocks/tost/</x:v>
      </x:c>
      <x:c r="I23" s="43" t="str">
        <x:v>https://stockscan.io/stocks/TOST/price-history</x:v>
      </x:c>
      <x:c r="J23" s="43" t="str">
        <x:v>Not verified</x:v>
      </x:c>
    </x:row>
    <x:row r="24" ht="110" customHeight="1">
      <x:c r="A24" s="42" t="n">
        <x:v>16</x:v>
      </x:c>
      <x:c r="B24" s="42" t="str">
        <x:v>GRAB</x:v>
      </x:c>
      <x:c r="C24" s="42" t="str">
        <x:v>Ads, digital banking and higher monetization of delivery/mobility.</x:v>
      </x:c>
      <x:c r="D24" s="42" t="str">
        <x:v>Consumer credit, local competition and regulation.</x:v>
      </x:c>
      <x:c r="E24" s="42" t="str">
        <x:v>TTM and latest-quarter profit positive; full four-quarter GAAP streak not verified.</x:v>
      </x:c>
      <x:c r="F24" s="42" t="str">
        <x:v>Long-dated expiration not checked.</x:v>
      </x:c>
      <x:c r="G24" s="43" t="str">
        <x:v>https://www.grab.com/sg/press/others/grab-reports-record-second-quarter-2026-results-raises-full-year-guidance-and-announces-750-million-share-repurchase-program/</x:v>
      </x:c>
      <x:c r="H24" s="43" t="str">
        <x:v>https://stockanalysis.com/stocks/grab/</x:v>
      </x:c>
      <x:c r="I24" s="43" t="str">
        <x:v>https://stockanalysis.com/stocks/grab/</x:v>
      </x:c>
      <x:c r="J24" s="43" t="str">
        <x:v>Not verified</x:v>
      </x:c>
    </x:row>
    <x:row r="25" ht="110" customHeight="1">
      <x:c r="A25" s="42" t="n">
        <x:v>17</x:v>
      </x:c>
      <x:c r="B25" s="42" t="str">
        <x:v>SE</x:v>
      </x:c>
      <x:c r="C25" s="42" t="str">
        <x:v>Shopee scale and Monee digital-finance profits.</x:v>
      </x:c>
      <x:c r="D25" s="42" t="str">
        <x:v>Consumer spending, e-commerce competition and credit losses.</x:v>
      </x:c>
      <x:c r="E25" s="42" t="str">
        <x:v>Four rising/profitable YoY quarters; exposure to consumer/credit cycles.</x:v>
      </x:c>
      <x:c r="F25" s="42" t="str">
        <x:v>Jan 2028 and Jan 2029 listed.</x:v>
      </x:c>
      <x:c r="G25" s="43" t="str">
        <x:v>https://cdn.yahoofinance.com/prod/sec-filings/0001703399/000119312526344596/d120948dex991.htm</x:v>
      </x:c>
      <x:c r="H25" s="43" t="str">
        <x:v>https://stockanalysis.com/stocks/se/</x:v>
      </x:c>
      <x:c r="I25" s="43" t="str">
        <x:v>https://stockanalysis.com/stocks/se/</x:v>
      </x:c>
      <x:c r="J25" s="43" t="str">
        <x:v>https://public.com/stocks/se/options-chain?expiration=2029-01-19</x:v>
      </x:c>
    </x:row>
    <x:row r="26" ht="110" customHeight="1">
      <x:c r="A26" s="42" t="n">
        <x:v>18</x:v>
      </x:c>
      <x:c r="B26" s="42" t="str">
        <x:v>CRM</x:v>
      </x:c>
      <x:c r="C26" s="42" t="str">
        <x:v>Agentforce, Data 360 and Informatica integration.</x:v>
      </x:c>
      <x:c r="D26" s="42" t="str">
        <x:v>AI displacement, acquisition integration and profit quality.</x:v>
      </x:c>
      <x:c r="E26" s="42" t="str">
        <x:v>Four reported rising/profitable YoY quarters; latest profit materially helped by investment gains.</x:v>
      </x:c>
      <x:c r="F26" s="42" t="str">
        <x:v>Jan 2029 listed; liquidity unverified.</x:v>
      </x:c>
      <x:c r="G26" s="43" t="str">
        <x:v>https://investor.salesforce.com/news/news-details/2026/Salesforce-Delivers-Record-Second-Quarter-Fiscal-2027-Results/default.aspx</x:v>
      </x:c>
      <x:c r="H26" s="43" t="str">
        <x:v>https://stockanalysis.com/stocks/crm/</x:v>
      </x:c>
      <x:c r="I26" s="43" t="str">
        <x:v>https://stockscan.io/stocks/CRM/price-history</x:v>
      </x:c>
      <x:c r="J26" s="43" t="str">
        <x:v>https://stockoptionschannel.com/symbol/crm/?month=20290119&amp;symbol=CRM&amp;type=call</x:v>
      </x:c>
    </x:row>
    <x:row r="27" ht="110" customHeight="1">
      <x:c r="A27" s="42" t="n">
        <x:v>19</x:v>
      </x:c>
      <x:c r="B27" s="42" t="str">
        <x:v>WDAY</x:v>
      </x:c>
      <x:c r="C27" s="42" t="str">
        <x:v>AI HR/finance agents, customer expansion and repurchases.</x:v>
      </x:c>
      <x:c r="D27" s="42" t="str">
        <x:v>Enterprise budgets, AI competition and buyout speculation.</x:v>
      </x:c>
      <x:c r="E27" s="42" t="str">
        <x:v>Latest EPS includes $1.52 tax benefit; four-quarter GAAP streak not verified.</x:v>
      </x:c>
      <x:c r="F27" s="42" t="str">
        <x:v>Long-dated expiration not checked.</x:v>
      </x:c>
      <x:c r="G27" s="43" t="str">
        <x:v>https://www.sec.gov/Archives/edgar/data/1327811/000132781126000042/wday-07312026x991.htm</x:v>
      </x:c>
      <x:c r="H27" s="43" t="str">
        <x:v>https://stockanalysis.com/stocks/wday/</x:v>
      </x:c>
      <x:c r="I27" s="43" t="str">
        <x:v>https://stockscan.io/stocks/WDAY/price-history</x:v>
      </x:c>
      <x:c r="J27" s="43" t="str">
        <x:v>Not verified</x:v>
      </x:c>
    </x:row>
    <x:row r="28" ht="110" customHeight="1">
      <x:c r="A28" s="42" t="n">
        <x:v>20</x:v>
      </x:c>
      <x:c r="B28" s="42" t="str">
        <x:v>TWLO</x:v>
      </x:c>
      <x:c r="C28" s="42" t="str">
        <x:v>AI voice/customer communications and higher engagement monetization.</x:v>
      </x:c>
      <x:c r="D28" s="42" t="str">
        <x:v>Communications competition and unusually large tax-driven headline profit.</x:v>
      </x:c>
      <x:c r="E28" s="42" t="str">
        <x:v>Latest reported income includes $944M noncash deferred-tax benefit.</x:v>
      </x:c>
      <x:c r="F28" s="42" t="str">
        <x:v>Long-dated expiration not checked.</x:v>
      </x:c>
      <x:c r="G28" s="43" t="str">
        <x:v>https://investors.twilio.com/news-releases/news-release-details/twilio-announces-second-quarter-2026-results</x:v>
      </x:c>
      <x:c r="H28" s="43" t="str">
        <x:v>https://stockanalysis.com/stocks/twlo/</x:v>
      </x:c>
      <x:c r="I28" s="43" t="str">
        <x:v>https://www.statmuse.com/money/ask/twlo-intraday-all-time-high</x:v>
      </x:c>
      <x:c r="J28" s="43" t="str">
        <x:v>Not verified</x:v>
      </x:c>
    </x:row>
    <x:row r="29" ht="110" customHeight="1">
      <x:c r="A29" s="42" t="n">
        <x:v>21</x:v>
      </x:c>
      <x:c r="B29" s="42" t="str">
        <x:v>ESTC</x:v>
      </x:c>
      <x:c r="C29" s="42" t="str">
        <x:v>AI search/vector retrieval, observability and security cross-selling.</x:v>
      </x:c>
      <x:c r="D29" s="42" t="str">
        <x:v>Cloud competition and profitability quality.</x:v>
      </x:c>
      <x:c r="E29" s="42" t="str">
        <x:v>Positive TTM income heavily affected by $434.85M FY2026 tax-valuation allowance release.</x:v>
      </x:c>
      <x:c r="F29" s="42" t="str">
        <x:v>Long-dated expiration not checked.</x:v>
      </x:c>
      <x:c r="G29" s="43" t="str">
        <x:v>https://ir.elastic.co/News--Events/news/news-details/2026/Elastic-Reports-Fourth-Quarter-and-Fiscal-2026-Financial-Results/default.aspx</x:v>
      </x:c>
      <x:c r="H29" s="43" t="str">
        <x:v>https://stockanalysis.com/stocks/estc/</x:v>
      </x:c>
      <x:c r="I29" s="43" t="str">
        <x:v>https://www.tradingview.com/symbols/NYSE-ESTC/</x:v>
      </x:c>
      <x:c r="J29" s="43" t="str">
        <x:v>Not verified</x:v>
      </x:c>
    </x:row>
    <x:row r="30" ht="110" customHeight="1">
      <x:c r="A30" s="42" t="n">
        <x:v>22</x:v>
      </x:c>
      <x:c r="B30" s="42" t="str">
        <x:v>AFRM</x:v>
      </x:c>
      <x:c r="C30" s="42" t="str">
        <x:v>BNPL merchant adoption and Affirm Card/network expansion.</x:v>
      </x:c>
      <x:c r="D30" s="42" t="str">
        <x:v>Credit losses, funding cost and stock dilution.</x:v>
      </x:c>
      <x:c r="E30" s="42" t="str">
        <x:v>FY2026 net income includes release of domestic deferred-tax valuation allowance.</x:v>
      </x:c>
      <x:c r="F30" s="42" t="str">
        <x:v>Long-dated expiration not checked.</x:v>
      </x:c>
      <x:c r="G30" s="43" t="str">
        <x:v>https://investors.affirm.com/news-releases/news-release-details/affirm-reports-fourth-fiscal-quarter-2026-results</x:v>
      </x:c>
      <x:c r="H30" s="43" t="str">
        <x:v>https://stockanalysis.com/stocks/afrm/</x:v>
      </x:c>
      <x:c r="I30" s="43" t="str">
        <x:v>https://www.tradingview.com/symbols/NASDAQ-AFRM/</x:v>
      </x:c>
      <x:c r="J30" s="43" t="str">
        <x:v>Not verified</x:v>
      </x:c>
    </x:row>
    <x:row r="31" ht="110" customHeight="1">
      <x:c r="A31" s="42" t="n">
        <x:v>23</x:v>
      </x:c>
      <x:c r="B31" s="42" t="str">
        <x:v>ROP</x:v>
      </x:c>
      <x:c r="C31" s="42" t="str">
        <x:v>Vertical-software acquisitions and subscription cash generation.</x:v>
      </x:c>
      <x:c r="D31" s="42" t="str">
        <x:v>Integration, debt and slower organic growth.</x:v>
      </x:c>
      <x:c r="E31" s="42" t="str">
        <x:v>Latest GAAP income +209%, adjusted income only +3%; investment gains inflate headline.</x:v>
      </x:c>
      <x:c r="F31" s="42" t="str">
        <x:v>Long-dated expiration not checked.</x:v>
      </x:c>
      <x:c r="G31" s="43" t="str">
        <x:v>https://www.sec.gov/Archives/edgar/data/882835/000088283526000031/a2026q2earningsrelease.htm</x:v>
      </x:c>
      <x:c r="H31" s="43" t="str">
        <x:v>https://stockanalysis.com/stocks/rop/</x:v>
      </x:c>
      <x:c r="I31" s="43" t="str">
        <x:v>https://stockanalysis.com/stocks/rop/</x:v>
      </x:c>
      <x:c r="J31" s="43" t="str">
        <x:v>Not verified</x:v>
      </x:c>
    </x:row>
    <x:row r="32" ht="110" customHeight="1">
      <x:c r="A32" s="42" t="n">
        <x:v>24</x:v>
      </x:c>
      <x:c r="B32" s="42" t="str">
        <x:v>UPST</x:v>
      </x:c>
      <x:c r="C32" s="42" t="str">
        <x:v>AI underwriting plus auto and home-equity lending.</x:v>
      </x:c>
      <x:c r="D32" s="42" t="str">
        <x:v>Highly sensitive to rates, credit performance and funding partners.</x:v>
      </x:c>
      <x:c r="E32" s="42" t="str">
        <x:v>Positive TTM income, but Q1 loss and only one latest qualifying quarter.</x:v>
      </x:c>
      <x:c r="F32" s="42" t="str">
        <x:v>Jan 2028/2029 listed.</x:v>
      </x:c>
      <x:c r="G32" s="43" t="str">
        <x:v>https://ir.upstart.com/news-releases/news-release-details/upstart-announces-second-quarter-2026-results</x:v>
      </x:c>
      <x:c r="H32" s="43" t="str">
        <x:v>https://stockanalysis.com/stocks/upst/</x:v>
      </x:c>
      <x:c r="I32" s="43" t="str">
        <x:v>https://stockanalysis.com/stocks/upst/</x:v>
      </x:c>
      <x:c r="J32" s="43" t="str">
        <x:v>https://public.com/stocks/upst/options-chain?expiration=2029-01-19</x:v>
      </x:c>
    </x:row>
    <x:row r="33" ht="110" customHeight="1">
      <x:c r="A33" s="42" t="n">
        <x:v>25</x:v>
      </x:c>
      <x:c r="B33" s="42" t="str">
        <x:v>SMCI</x:v>
      </x:c>
      <x:c r="C33" s="42" t="str">
        <x:v>AI servers, liquid cooling and data-center demand.</x:v>
      </x:c>
      <x:c r="D33" s="42" t="str">
        <x:v>Hardware margins, trade restrictions, customers and reporting execution.</x:v>
      </x:c>
      <x:c r="E33" s="42" t="str">
        <x:v>Three rising/profitable YoY quarters; Q1 FY2026 declined.</x:v>
      </x:c>
      <x:c r="F33" s="42" t="str">
        <x:v>Long-dated expiration not checked.</x:v>
      </x:c>
      <x:c r="G33" s="43" t="str">
        <x:v>https://www.sec.gov/Archives/edgar/data/1375365/000137536526000021/exhibit991_20260630.htm</x:v>
      </x:c>
      <x:c r="H33" s="43" t="str">
        <x:v>https://stockanalysis.com/stocks/smci/</x:v>
      </x:c>
      <x:c r="I33" s="43" t="str">
        <x:v>https://www.investors.com/news/technology/smci-stock-nasdaq-100-dumps-supermicro/</x:v>
      </x:c>
      <x:c r="J33" s="43" t="str">
        <x:v>Not verified</x:v>
      </x:c>
    </x:row>
    <x:row r="34" ht="110" customHeight="1">
      <x:c r="A34" s="42" t="n">
        <x:v>26</x:v>
      </x:c>
      <x:c r="B34" s="42" t="str">
        <x:v>CVNA</x:v>
      </x:c>
      <x:c r="C34" s="42" t="str">
        <x:v>Retail unit growth and ADESA reconditioning capacity.</x:v>
      </x:c>
      <x:c r="D34" s="42" t="str">
        <x:v>Used-car credit, financing and balance-sheet leverage.</x:v>
      </x:c>
      <x:c r="E34" s="42" t="str">
        <x:v>Four rising/profitable YoY quarters; verify gain/tax effects and split-adjusted contracts.</x:v>
      </x:c>
      <x:c r="F34" s="42" t="str">
        <x:v>Long-dated expiration not checked.</x:v>
      </x:c>
      <x:c r="G34" s="43" t="str">
        <x:v>https://www.sec.gov/Archives/edgar/data/1690820/000169082026000054/ex99_1q22026.htm</x:v>
      </x:c>
      <x:c r="H34" s="43" t="str">
        <x:v>https://stockanalysis.com/stocks/cvna/</x:v>
      </x:c>
      <x:c r="I34" s="43" t="str">
        <x:v>https://stockanalysis.com/stocks/cvna/</x:v>
      </x:c>
      <x:c r="J34" s="43" t="str">
        <x:v>Not verified</x:v>
      </x:c>
    </x:row>
    <x:row r="35" ht="110" customHeight="1">
      <x:c r="A35" s="42" t="n">
        <x:v>27</x:v>
      </x:c>
      <x:c r="B35" s="42" t="str">
        <x:v>CHWY</x:v>
      </x:c>
      <x:c r="C35" s="42" t="str">
        <x:v>Autoship, advertising and veterinary/healthcare services.</x:v>
      </x:c>
      <x:c r="D35" s="42" t="str">
        <x:v>Slow top-line growth and consumer spending.</x:v>
      </x:c>
      <x:c r="E35" s="42" t="str">
        <x:v>Four rising/profitable YoY quarters in standardized data; modest revenue growth.</x:v>
      </x:c>
      <x:c r="F35" s="42" t="str">
        <x:v>Long-dated expiration not checked.</x:v>
      </x:c>
      <x:c r="G35" s="43" t="str">
        <x:v>https://www.sec.gov/Archives/edgar/data/1766502/000162828026061011/chwyq22026exhibit991.htm</x:v>
      </x:c>
      <x:c r="H35" s="43" t="str">
        <x:v>https://stockanalysis.com/stocks/chwy/</x:v>
      </x:c>
      <x:c r="I35" s="43" t="str">
        <x:v>https://stockanalysis.com/stocks/chwy/</x:v>
      </x:c>
      <x:c r="J35" s="43" t="str">
        <x:v>Not verified</x:v>
      </x:c>
    </x:row>
    <x:row r="36" ht="110" customHeight="1">
      <x:c r="A36" s="42" t="n">
        <x:v>28</x:v>
      </x:c>
      <x:c r="B36" s="42" t="str">
        <x:v>ONON</x:v>
      </x:c>
      <x:c r="C36" s="42" t="str">
        <x:v>Performance footwear, apparel and direct-to-consumer expansion.</x:v>
      </x:c>
      <x:c r="D36" s="42" t="str">
        <x:v>Tariffs, foreign exchange and slowing Americas growth.</x:v>
      </x:c>
      <x:c r="E36" s="42" t="str">
        <x:v>USD-translated TTM figures; quarter streak and FX effects require confirmation.</x:v>
      </x:c>
      <x:c r="F36" s="42" t="str">
        <x:v>Long-dated expiration not checked.</x:v>
      </x:c>
      <x:c r="G36" s="43" t="str">
        <x:v>https://investors.on-running.com/news/news-details/2026/On-Reports-Results-for-the-Second-Quarter-and-Six-Month-Period-Ended-June-30-2026/default.aspx</x:v>
      </x:c>
      <x:c r="H36" s="43" t="str">
        <x:v>https://stockanalysis.com/stocks/onon/</x:v>
      </x:c>
      <x:c r="I36" s="43" t="str">
        <x:v>https://stockanalysis.com/stocks/onon/</x:v>
      </x:c>
      <x:c r="J36" s="43" t="str">
        <x:v>Not verified</x:v>
      </x:c>
    </x:row>
    <x:row r="37" ht="110" customHeight="1">
      <x:c r="A37" s="42" t="n">
        <x:v>29</x:v>
      </x:c>
      <x:c r="B37" s="42" t="str">
        <x:v>NOW</x:v>
      </x:c>
      <x:c r="C37" s="42" t="str">
        <x:v>Now Assist AI workflow adoption and enterprise automation.</x:v>
      </x:c>
      <x:c r="D37" s="42" t="str">
        <x:v>AI competition, integration and valuation.</x:v>
      </x:c>
      <x:c r="E37" s="42" t="str">
        <x:v>Latest Q2 GAAP net income fell 22.6% YoY despite positive TTM growth.</x:v>
      </x:c>
      <x:c r="F37" s="42" t="str">
        <x:v>Long-dated expiration not checked.</x:v>
      </x:c>
      <x:c r="G37" s="43" t="str">
        <x:v>https://newsroom.servicenow.com/press-releases/details/2026/ServiceNow-Reports-Second-Quarter-2026-Financial-Results/default.aspx</x:v>
      </x:c>
      <x:c r="H37" s="43" t="str">
        <x:v>https://stockanalysis.com/stocks/now/</x:v>
      </x:c>
      <x:c r="I37" s="43" t="str">
        <x:v>https://www.portfolio-terminal.com/analyse/now</x:v>
      </x:c>
      <x:c r="J37" s="43" t="str">
        <x:v>Not verified</x:v>
      </x:c>
    </x:row>
    <x:row r="38" ht="110" customHeight="1">
      <x:c r="A38" s="42" t="n">
        <x:v>30</x:v>
      </x:c>
      <x:c r="B38" s="42" t="str">
        <x:v>PYPL</x:v>
      </x:c>
      <x:c r="C38" s="42" t="str">
        <x:v>Venmo monetization, checkout improvements and repurchases.</x:v>
      </x:c>
      <x:c r="D38" s="42" t="str">
        <x:v>Slow growth, competition and consumer spending.</x:v>
      </x:c>
      <x:c r="E38" s="42" t="str">
        <x:v>Latest two quarters' net income declined YoY; fails quarter-consistency test.</x:v>
      </x:c>
      <x:c r="F38" s="42" t="str">
        <x:v>Long-dated expiration not checked.</x:v>
      </x:c>
      <x:c r="G38" s="43" t="str">
        <x:v>https://www.sec.gov/Archives/edgar/data/1633917/000163391726000080/pypl2q-26earningsrelease.htm</x:v>
      </x:c>
      <x:c r="H38" s="43" t="str">
        <x:v>https://stockanalysis.com/stocks/pypl/</x:v>
      </x:c>
      <x:c r="I38" s="43" t="str">
        <x:v>https://stockanalysis.com/stocks/pypl/</x:v>
      </x:c>
      <x:c r="J38" s="43" t="str">
        <x:v>Not verified</x:v>
      </x:c>
    </x:row>
    <x:row r="39" ht="110" customHeight="1">
      <x:c r="A39" s="42" t="n">
        <x:v>31</x:v>
      </x:c>
      <x:c r="B39" s="42" t="str">
        <x:v>DASH</x:v>
      </x:c>
      <x:c r="C39" s="42" t="str">
        <x:v>Deliveroo integration, grocery/retail and ads.</x:v>
      </x:c>
      <x:c r="D39" s="42" t="str">
        <x:v>Consumer spending and integration/investment costs.</x:v>
      </x:c>
      <x:c r="E39" s="42" t="str">
        <x:v>Latest two quarters' net income declined YoY; fails quarter-consistency test.</x:v>
      </x:c>
      <x:c r="F39" s="42" t="str">
        <x:v>Long-dated expiration not checked.</x:v>
      </x:c>
      <x:c r="G39" s="43" t="str">
        <x:v>https://ir.doordash.com/financials/quarterly-results/</x:v>
      </x:c>
      <x:c r="H39" s="43" t="str">
        <x:v>https://stockanalysis.com/stocks/dash/</x:v>
      </x:c>
      <x:c r="I39" s="43" t="str">
        <x:v>https://stockanalysis.com/stocks/dash/</x:v>
      </x:c>
      <x:c r="J39" s="43" t="str">
        <x:v>Not verified</x:v>
      </x:c>
    </x:row>
    <x:row r="40" ht="110" customHeight="1">
      <x:c r="A40" s="42" t="n">
        <x:v>32</x:v>
      </x:c>
      <x:c r="B40" s="42" t="str">
        <x:v>DECK</x:v>
      </x:c>
      <x:c r="C40" s="42" t="str">
        <x:v>HOKA/UGG international and direct-to-consumer expansion.</x:v>
      </x:c>
      <x:c r="D40" s="42" t="str">
        <x:v>Tariffs and consumer demand.</x:v>
      </x:c>
      <x:c r="E40" s="42" t="str">
        <x:v>Latest two quarters' net income declined YoY despite positive TTM growth.</x:v>
      </x:c>
      <x:c r="F40" s="42" t="str">
        <x:v>Long-dated expiration not checked.</x:v>
      </x:c>
      <x:c r="G40" s="43" t="str">
        <x:v>https://www.sec.gov/Archives/edgar/data/910521/000091052126000015/deckex991pressrelease-6302.htm</x:v>
      </x:c>
      <x:c r="H40" s="43" t="str">
        <x:v>https://stockanalysis.com/stocks/deck/</x:v>
      </x:c>
      <x:c r="I40" s="43" t="str">
        <x:v>https://stockanalysis.com/stocks/deck/</x:v>
      </x:c>
      <x:c r="J40" s="43" t="str">
        <x:v>Not verified</x:v>
      </x:c>
    </x:row>
    <x:row r="41" ht="110" customHeight="1">
      <x:c r="A41" s="42" t="n">
        <x:v>33</x:v>
      </x:c>
      <x:c r="B41" s="42" t="str">
        <x:v>FSLR</x:v>
      </x:c>
      <x:c r="C41" s="42" t="str">
        <x:v>Domestic factory capacity and contracted backlog execution.</x:v>
      </x:c>
      <x:c r="D41" s="42" t="str">
        <x:v>Policy/subsidy exposure and shipment timing.</x:v>
      </x:c>
      <x:c r="E41" s="42" t="str">
        <x:v>Latest Q2 revenue declined YoY; profit aided by manufacturing credits.</x:v>
      </x:c>
      <x:c r="F41" s="42" t="str">
        <x:v>Long-dated expiration not checked.</x:v>
      </x:c>
      <x:c r="G41" s="43" t="str">
        <x:v>https://www.sec.gov/Archives/edgar/data/1274494/000127449426000169/ex991pressreleaseq2-2026.htm</x:v>
      </x:c>
      <x:c r="H41" s="43" t="str">
        <x:v>https://stockanalysis.com/stocks/fslr/</x:v>
      </x:c>
      <x:c r="I41" s="43" t="str">
        <x:v>https://stockanalysis.com/stocks/fslr/</x:v>
      </x:c>
      <x:c r="J41" s="43" t="str">
        <x:v>Not verified</x:v>
      </x:c>
    </x:row>
    <x:row r="42" ht="110" customHeight="1">
      <x:c r="A42" s="42" t="n">
        <x:v>34</x:v>
      </x:c>
      <x:c r="B42" s="42" t="str">
        <x:v>CGNX</x:v>
      </x:c>
      <x:c r="C42" s="42" t="str">
        <x:v>AI machine vision and factory/logistics automation.</x:v>
      </x:c>
      <x:c r="D42" s="42" t="str">
        <x:v>Industrial capex, trade policy and option liquidity.</x:v>
      </x:c>
      <x:c r="E42" s="42" t="str">
        <x:v>TTM and Q2 improvement; four-quarter GAAP streak not verified.</x:v>
      </x:c>
      <x:c r="F42" s="42" t="str">
        <x:v>Long-dated expiration not confirmed.</x:v>
      </x:c>
      <x:c r="G42" s="43" t="str">
        <x:v>https://www.sec.gov/Archives/edgar/data/851205/000085120526000061/a07052026-xex991xq22026ear.htm</x:v>
      </x:c>
      <x:c r="H42" s="43" t="str">
        <x:v>https://stockanalysis.com/stocks/cgnx/</x:v>
      </x:c>
      <x:c r="I42" s="43" t="str">
        <x:v>https://stockscan.io/stocks/CGNX/price-history</x:v>
      </x:c>
      <x:c r="J42" s="43" t="str">
        <x:v>Not verified</x:v>
      </x:c>
    </x:row>
    <x:row r="43" ht="110" customHeight="1">
      <x:c r="A43" s="42" t="n">
        <x:v>35</x:v>
      </x:c>
      <x:c r="B43" s="42" t="str">
        <x:v>NSIT</x:v>
      </x:c>
      <x:c r="C43" s="42" t="str">
        <x:v>AI infrastructure implementation and higher-margin cloud/services mix.</x:v>
      </x:c>
      <x:c r="D43" s="42" t="str">
        <x:v>Hardware/trade exposure and potentially thin options.</x:v>
      </x:c>
      <x:c r="E43" s="42" t="str">
        <x:v>Q2 income improved; four-quarter streak not verified. Drawdown barely meets 30%.</x:v>
      </x:c>
      <x:c r="F43" s="42" t="str">
        <x:v>Long-dated expiration not confirmed.</x:v>
      </x:c>
      <x:c r="G43" s="43" t="str">
        <x:v>https://www.sec.gov/Archives/edgar/data/932696/000093269626000067/nsit-20260806xerx8kex991.htm</x:v>
      </x:c>
      <x:c r="H43" s="43" t="str">
        <x:v>https://stockanalysis.com/stocks/nsit/</x:v>
      </x:c>
      <x:c r="I43" s="43" t="str">
        <x:v>https://stockscan.io/stocks/NSIT/price-history</x:v>
      </x:c>
      <x:c r="J43" s="43" t="str">
        <x:v>Not verified</x:v>
      </x:c>
    </x:row>
    <x:row r="44" ht="110" customHeight="1">
      <x:c r="A44" s="42" t="n">
        <x:v>36</x:v>
      </x:c>
      <x:c r="B44" s="42" t="str">
        <x:v>DG</x:v>
      </x:c>
      <x:c r="C44" s="42" t="str">
        <x:v>Inventory/shrink control, margin recovery and store productivity.</x:v>
      </x:c>
      <x:c r="D44" s="42" t="str">
        <x:v>Tariffs and low-income consumer spending.</x:v>
      </x:c>
      <x:c r="E44" s="42" t="str">
        <x:v>Latest margin increase includes tariff refunds; not a clean AI thesis.</x:v>
      </x:c>
      <x:c r="F44" s="42" t="str">
        <x:v>Long-dated expiration not checked.</x:v>
      </x:c>
      <x:c r="G44" s="43" t="str">
        <x:v>https://investor.dollargeneral.com/news-detail/dollar-general-corporation-reports-second-quarter-2026-results/71b3816e-10a9-4028-845a-d161637e745b</x:v>
      </x:c>
      <x:c r="H44" s="43" t="str">
        <x:v>https://stockanalysis.com/stocks/dg/</x:v>
      </x:c>
      <x:c r="I44" s="43" t="str">
        <x:v>https://stockscan.io/stocks/DG/price-history</x:v>
      </x:c>
      <x:c r="J44" s="43" t="str">
        <x:v>Not verified</x:v>
      </x:c>
    </x:row>
  </x:sheetData>
  <x:mergeCells>
    <x:mergeCell ref="A1:J1"/>
    <x:mergeCell ref="A2:J2"/>
    <x:mergeCell ref="A3:J3"/>
    <x:mergeCell ref="A4:J4"/>
    <x:mergeCell ref="A5:J5"/>
    <x:mergeCell ref="A6:J6"/>
    <x:mergeCell ref="A7:J7"/>
  </x:mergeCells>
  <x:pageMargins left="0.7" right="0.7" top="0.75" bottom="0.75" header="0.3" footer="0.3"/>
  <x:tableParts count="1">
    <x:tablePart xmlns:r="http://schemas.openxmlformats.org/officeDocument/2006/relationships" r:id="R6ed2d0d25bcf4ad0"/>
  </x:tableParts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8" hidden="0" customWidth="1"/>
    <x:col min="2" max="2" width="14" hidden="0" customWidth="1"/>
    <x:col min="3" max="3" width="9" hidden="0" customWidth="1"/>
    <x:col min="4" max="4" width="15" hidden="0" customWidth="1"/>
    <x:col min="5" max="5" width="19" hidden="0" customWidth="1"/>
    <x:col min="6" max="6" width="15" hidden="0" customWidth="1"/>
    <x:col min="7" max="7" width="16" hidden="0" customWidth="1"/>
    <x:col min="8" max="8" width="19" hidden="0" customWidth="1"/>
    <x:col min="9" max="9" width="15" hidden="0" customWidth="1"/>
    <x:col min="10" max="10" width="16" hidden="0" customWidth="1"/>
    <x:col min="11" max="11" width="14" hidden="0" customWidth="1"/>
    <x:col min="12" max="12" width="48" hidden="0" customWidth="1"/>
  </x:cols>
  <x:sheetData>
    <x:row r="1" ht="32" customHeight="1">
      <x:c r="A1" s="29" t="str">
        <x:v>Quarterly revenue and net-income consistency audit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</x:row>
    <x:row r="2" ht="28" customHeight="1">
      <x:c r="A2" s="31" t="str">
        <x:v>Current and prior-year figures use the same fiscal quarter. Data are standardized, rounded source amounts in millions of the reporting currency.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</x:row>
    <x:row r="3" ht="28" customHeight="1">
      <x:c r="A3" s="31" t="str">
        <x:v>YoY revenue = current / prior − 1. Net-income YoY is n.a. when the year-earlier value is zero or negative; the dollar change still shows improvement.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 ht="28" customHeight="1">
      <x:c r="A4" s="31" t="str">
        <x:v>Qualifies = 1 only if revenue is higher, current net income is positive, and current net income is higher than the prior-year figure.</x:v>
      </x:c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28" customHeight="1">
      <x:c r="A5" s="31" t="str">
        <x:v>The main sheet counts a consecutive run from the latest quarter backward, capped at four. It does not claim four sequential quarter-to-quarter increases.</x:v>
      </x:c>
      <x:c r="B5" s="30"/>
      <x:c r="C5" s="30"/>
      <x:c r="D5" s="30"/>
      <x:c r="E5" s="30"/>
      <x:c r="F5" s="30"/>
      <x:c r="G5" s="30"/>
      <x:c r="H5" s="30"/>
      <x:c r="I5" s="30"/>
      <x:c r="J5" s="30"/>
      <x:c r="K5" s="30"/>
      <x:c r="L5" s="30"/>
    </x:row>
    <x:row r="6" ht="28" customHeight="1">
      <x:c r="A6" s="31" t="str">
        <x:v>Currency: USD for U.S. issuers; EUR for SAP. Source-page standardization may differ slightly from issuer-reported figures; recheck material discrepancies.</x:v>
      </x:c>
      <x:c r="B6" s="30"/>
      <x:c r="C6" s="30"/>
      <x:c r="D6" s="30"/>
      <x:c r="E6" s="30"/>
      <x:c r="F6" s="30"/>
      <x:c r="G6" s="30"/>
      <x:c r="H6" s="30"/>
      <x:c r="I6" s="30"/>
      <x:c r="J6" s="30"/>
      <x:c r="K6" s="30"/>
      <x:c r="L6" s="30"/>
    </x:row>
    <x:row r="7" ht="28" customHeight="1">
      <x:c r="A7" s="31" t="str">
        <x:v>One-time gains can make the arithmetic pass. See Research notes before treating a reported-profit streak as sustainable operating growth.</x:v>
      </x:c>
      <x:c r="B7" s="30"/>
      <x:c r="C7" s="30"/>
      <x:c r="D7" s="30"/>
      <x:c r="E7" s="30"/>
      <x:c r="F7" s="30"/>
      <x:c r="G7" s="30"/>
      <x:c r="H7" s="30"/>
      <x:c r="I7" s="30"/>
      <x:c r="J7" s="30"/>
      <x:c r="K7" s="30"/>
      <x:c r="L7" s="30"/>
    </x:row>
    <x:row r="8" ht="44" customHeight="1">
      <x:c r="A8" s="32" t="str">
        <x:v>Ticker</x:v>
      </x:c>
      <x:c r="B8" s="32" t="str">
        <x:v>Fiscal quarter</x:v>
      </x:c>
      <x:c r="C8" s="32" t="str">
        <x:v>Currency</x:v>
      </x:c>
      <x:c r="D8" s="32" t="str">
        <x:v>Revenue (m)</x:v>
      </x:c>
      <x:c r="E8" s="32" t="str">
        <x:v>Revenue year ago (m)</x:v>
      </x:c>
      <x:c r="F8" s="32" t="str">
        <x:v>Revenue YoY</x:v>
      </x:c>
      <x:c r="G8" s="32" t="str">
        <x:v>Net income (m)</x:v>
      </x:c>
      <x:c r="H8" s="32" t="str">
        <x:v>NI year ago (m)</x:v>
      </x:c>
      <x:c r="I8" s="32" t="str">
        <x:v>NI YoY</x:v>
      </x:c>
      <x:c r="J8" s="32" t="str">
        <x:v>NI change (m)</x:v>
      </x:c>
      <x:c r="K8" s="32" t="str">
        <x:v>Qualifies (1/0)</x:v>
      </x:c>
      <x:c r="L8" s="32" t="str">
        <x:v>Source</x:v>
      </x:c>
    </x:row>
    <x:row r="9" ht="58" customHeight="1">
      <x:c r="A9" s="44" t="str">
        <x:v>RDDT</x:v>
      </x:c>
      <x:c r="B9" s="44" t="str">
        <x:v>Q2 2026</x:v>
      </x:c>
      <x:c r="C9" s="44" t="str">
        <x:v>USD</x:v>
      </x:c>
      <x:c r="D9" s="45" t="n">
        <x:v>804.91</x:v>
      </x:c>
      <x:c r="E9" s="45" t="n">
        <x:v>499.63</x:v>
      </x:c>
      <x:c r="F9" s="46" t="n">
        <x:f>D9/E9-1</x:f>
        <x:v>0.6110121489902527</x:v>
      </x:c>
      <x:c r="G9" s="45" t="n">
        <x:v>252.85</x:v>
      </x:c>
      <x:c r="H9" s="45" t="n">
        <x:v>89.3</x:v>
      </x:c>
      <x:c r="I9" s="46" t="n">
        <x:f>IF(H9&gt;0,G9/H9-1,"n.a.")</x:f>
        <x:v>1.8314669652855544</x:v>
      </x:c>
      <x:c r="J9" s="47" t="n">
        <x:f>G9-H9</x:f>
        <x:v>163.55</x:v>
      </x:c>
      <x:c r="K9" s="44" t="n">
        <x:f>IF(AND(D9&gt;E9,G9&gt;0,G9&gt;H9),1,0)</x:f>
        <x:v>1</x:v>
      </x:c>
      <x:c r="L9" s="44" t="str">
        <x:v>https://stockanalysis.com/stocks/rddt/financials/?p=quarterly</x:v>
      </x:c>
    </x:row>
    <x:row r="10" ht="58" customHeight="1">
      <x:c r="A10" s="42" t="str">
        <x:v>RDDT</x:v>
      </x:c>
      <x:c r="B10" s="42" t="str">
        <x:v>Q1 2026</x:v>
      </x:c>
      <x:c r="C10" s="42" t="str">
        <x:v>USD</x:v>
      </x:c>
      <x:c r="D10" s="48" t="n">
        <x:v>663.41</x:v>
      </x:c>
      <x:c r="E10" s="48" t="n">
        <x:v>392.36</x:v>
      </x:c>
      <x:c r="F10" s="49" t="n">
        <x:f>D10/E10-1</x:f>
        <x:v>0.6908196554184931</x:v>
      </x:c>
      <x:c r="G10" s="48" t="n">
        <x:v>203.98</x:v>
      </x:c>
      <x:c r="H10" s="48" t="n">
        <x:v>26.16</x:v>
      </x:c>
      <x:c r="I10" s="49" t="n">
        <x:f>IF(H10&gt;0,G10/H10-1,"n.a.")</x:f>
        <x:v>6.797400611620795</x:v>
      </x:c>
      <x:c r="J10" s="50" t="n">
        <x:f>G10-H10</x:f>
        <x:v>177.82</x:v>
      </x:c>
      <x:c r="K10" s="42" t="n">
        <x:f>IF(AND(D10&gt;E10,G10&gt;0,G10&gt;H10),1,0)</x:f>
        <x:v>1</x:v>
      </x:c>
      <x:c r="L10" s="42" t="str">
        <x:v>https://stockanalysis.com/stocks/rddt/financials/?p=quarterly</x:v>
      </x:c>
    </x:row>
    <x:row r="11" ht="58" customHeight="1">
      <x:c r="A11" s="42" t="str">
        <x:v>RDDT</x:v>
      </x:c>
      <x:c r="B11" s="42" t="str">
        <x:v>Q4 2025</x:v>
      </x:c>
      <x:c r="C11" s="42" t="str">
        <x:v>USD</x:v>
      </x:c>
      <x:c r="D11" s="48" t="n">
        <x:v>725.61</x:v>
      </x:c>
      <x:c r="E11" s="48" t="n">
        <x:v>427.71</x:v>
      </x:c>
      <x:c r="F11" s="49" t="n">
        <x:f>D11/E11-1</x:f>
        <x:v>0.6964999649295085</x:v>
      </x:c>
      <x:c r="G11" s="48" t="n">
        <x:v>251.6</x:v>
      </x:c>
      <x:c r="H11" s="48" t="n">
        <x:v>71.04</x:v>
      </x:c>
      <x:c r="I11" s="49" t="n">
        <x:f>IF(H11&gt;0,G11/H11-1,"n.a.")</x:f>
        <x:v>2.541666666666666</x:v>
      </x:c>
      <x:c r="J11" s="50" t="n">
        <x:f>G11-H11</x:f>
        <x:v>180.56</x:v>
      </x:c>
      <x:c r="K11" s="42" t="n">
        <x:f>IF(AND(D11&gt;E11,G11&gt;0,G11&gt;H11),1,0)</x:f>
        <x:v>1</x:v>
      </x:c>
      <x:c r="L11" s="42" t="str">
        <x:v>https://stockanalysis.com/stocks/rddt/financials/?p=quarterly</x:v>
      </x:c>
    </x:row>
    <x:row r="12" ht="58" customHeight="1">
      <x:c r="A12" s="42" t="str">
        <x:v>RDDT</x:v>
      </x:c>
      <x:c r="B12" s="42" t="str">
        <x:v>Q3 2025</x:v>
      </x:c>
      <x:c r="C12" s="42" t="str">
        <x:v>USD</x:v>
      </x:c>
      <x:c r="D12" s="48" t="n">
        <x:v>584.91</x:v>
      </x:c>
      <x:c r="E12" s="48" t="n">
        <x:v>348.35</x:v>
      </x:c>
      <x:c r="F12" s="49" t="n">
        <x:f>D12/E12-1</x:f>
        <x:v>0.6790871250179416</x:v>
      </x:c>
      <x:c r="G12" s="48" t="n">
        <x:v>162.66</x:v>
      </x:c>
      <x:c r="H12" s="48" t="n">
        <x:v>29.85</x:v>
      </x:c>
      <x:c r="I12" s="49" t="n">
        <x:f>IF(H12&gt;0,G12/H12-1,"n.a.")</x:f>
        <x:v>4.4492462311557786</x:v>
      </x:c>
      <x:c r="J12" s="50" t="n">
        <x:f>G12-H12</x:f>
        <x:v>132.81</x:v>
      </x:c>
      <x:c r="K12" s="42" t="n">
        <x:f>IF(AND(D12&gt;E12,G12&gt;0,G12&gt;H12),1,0)</x:f>
        <x:v>1</x:v>
      </x:c>
      <x:c r="L12" s="42" t="str">
        <x:v>https://stockanalysis.com/stocks/rddt/financials/?p=quarterly</x:v>
      </x:c>
    </x:row>
    <x:row r="13" ht="58" customHeight="1">
      <x:c r="A13" s="44" t="str">
        <x:v>ORCL</x:v>
      </x:c>
      <x:c r="B13" s="44" t="str">
        <x:v>Q1 2027</x:v>
      </x:c>
      <x:c r="C13" s="44" t="str">
        <x:v>USD</x:v>
      </x:c>
      <x:c r="D13" s="45" t="n">
        <x:v>19345</x:v>
      </x:c>
      <x:c r="E13" s="45" t="n">
        <x:v>14926</x:v>
      </x:c>
      <x:c r="F13" s="46" t="n">
        <x:f>D13/E13-1</x:f>
        <x:v>0.2960605654562509</x:v>
      </x:c>
      <x:c r="G13" s="45" t="n">
        <x:v>4679</x:v>
      </x:c>
      <x:c r="H13" s="45" t="n">
        <x:v>2927</x:v>
      </x:c>
      <x:c r="I13" s="46" t="n">
        <x:f>IF(H13&gt;0,G13/H13-1,"n.a.")</x:f>
        <x:v>0.5985650837034506</x:v>
      </x:c>
      <x:c r="J13" s="47" t="n">
        <x:f>G13-H13</x:f>
        <x:v>1752</x:v>
      </x:c>
      <x:c r="K13" s="44" t="n">
        <x:f>IF(AND(D13&gt;E13,G13&gt;0,G13&gt;H13),1,0)</x:f>
        <x:v>1</x:v>
      </x:c>
      <x:c r="L13" s="44" t="str">
        <x:v>https://stockanalysis.com/stocks/orcl/financials/?p=quarterly</x:v>
      </x:c>
    </x:row>
    <x:row r="14" ht="58" customHeight="1">
      <x:c r="A14" s="42" t="str">
        <x:v>ORCL</x:v>
      </x:c>
      <x:c r="B14" s="42" t="str">
        <x:v>Q4 2026</x:v>
      </x:c>
      <x:c r="C14" s="42" t="str">
        <x:v>USD</x:v>
      </x:c>
      <x:c r="D14" s="48" t="n">
        <x:v>19184</x:v>
      </x:c>
      <x:c r="E14" s="48" t="n">
        <x:v>15903</x:v>
      </x:c>
      <x:c r="F14" s="49" t="n">
        <x:f>D14/E14-1</x:f>
        <x:v>0.2063132742249889</x:v>
      </x:c>
      <x:c r="G14" s="48" t="n">
        <x:v>4223</x:v>
      </x:c>
      <x:c r="H14" s="48" t="n">
        <x:v>3427</x:v>
      </x:c>
      <x:c r="I14" s="49" t="n">
        <x:f>IF(H14&gt;0,G14/H14-1,"n.a.")</x:f>
        <x:v>0.2322731251823753</x:v>
      </x:c>
      <x:c r="J14" s="50" t="n">
        <x:f>G14-H14</x:f>
        <x:v>796</x:v>
      </x:c>
      <x:c r="K14" s="42" t="n">
        <x:f>IF(AND(D14&gt;E14,G14&gt;0,G14&gt;H14),1,0)</x:f>
        <x:v>1</x:v>
      </x:c>
      <x:c r="L14" s="42" t="str">
        <x:v>https://stockanalysis.com/stocks/orcl/financials/?p=quarterly</x:v>
      </x:c>
    </x:row>
    <x:row r="15" ht="58" customHeight="1">
      <x:c r="A15" s="42" t="str">
        <x:v>ORCL</x:v>
      </x:c>
      <x:c r="B15" s="42" t="str">
        <x:v>Q3 2026</x:v>
      </x:c>
      <x:c r="C15" s="42" t="str">
        <x:v>USD</x:v>
      </x:c>
      <x:c r="D15" s="48" t="n">
        <x:v>17190</x:v>
      </x:c>
      <x:c r="E15" s="48" t="n">
        <x:v>14130</x:v>
      </x:c>
      <x:c r="F15" s="49" t="n">
        <x:f>D15/E15-1</x:f>
        <x:v>0.21656050955414008</x:v>
      </x:c>
      <x:c r="G15" s="48" t="n">
        <x:v>3699</x:v>
      </x:c>
      <x:c r="H15" s="48" t="n">
        <x:v>2936</x:v>
      </x:c>
      <x:c r="I15" s="49" t="n">
        <x:f>IF(H15&gt;0,G15/H15-1,"n.a.")</x:f>
        <x:v>0.2598773841961852</x:v>
      </x:c>
      <x:c r="J15" s="50" t="n">
        <x:f>G15-H15</x:f>
        <x:v>763</x:v>
      </x:c>
      <x:c r="K15" s="42" t="n">
        <x:f>IF(AND(D15&gt;E15,G15&gt;0,G15&gt;H15),1,0)</x:f>
        <x:v>1</x:v>
      </x:c>
      <x:c r="L15" s="42" t="str">
        <x:v>https://stockanalysis.com/stocks/orcl/financials/?p=quarterly</x:v>
      </x:c>
    </x:row>
    <x:row r="16" ht="58" customHeight="1">
      <x:c r="A16" s="42" t="str">
        <x:v>ORCL</x:v>
      </x:c>
      <x:c r="B16" s="42" t="str">
        <x:v>Q2 2026</x:v>
      </x:c>
      <x:c r="C16" s="42" t="str">
        <x:v>USD</x:v>
      </x:c>
      <x:c r="D16" s="48" t="n">
        <x:v>16058</x:v>
      </x:c>
      <x:c r="E16" s="48" t="n">
        <x:v>14059</x:v>
      </x:c>
      <x:c r="F16" s="49" t="n">
        <x:f>D16/E16-1</x:f>
        <x:v>0.14218649975104913</x:v>
      </x:c>
      <x:c r="G16" s="48" t="n">
        <x:v>6135</x:v>
      </x:c>
      <x:c r="H16" s="48" t="n">
        <x:v>3151</x:v>
      </x:c>
      <x:c r="I16" s="49" t="n">
        <x:f>IF(H16&gt;0,G16/H16-1,"n.a.")</x:f>
        <x:v>0.9470009520787053</x:v>
      </x:c>
      <x:c r="J16" s="50" t="n">
        <x:f>G16-H16</x:f>
        <x:v>2984</x:v>
      </x:c>
      <x:c r="K16" s="42" t="n">
        <x:f>IF(AND(D16&gt;E16,G16&gt;0,G16&gt;H16),1,0)</x:f>
        <x:v>1</x:v>
      </x:c>
      <x:c r="L16" s="42" t="str">
        <x:v>https://stockanalysis.com/stocks/orcl/financials/?p=quarterly</x:v>
      </x:c>
    </x:row>
    <x:row r="17" ht="58" customHeight="1">
      <x:c r="A17" s="44" t="str">
        <x:v>IOT</x:v>
      </x:c>
      <x:c r="B17" s="44" t="str">
        <x:v>Q2 2027</x:v>
      </x:c>
      <x:c r="C17" s="44" t="str">
        <x:v>USD</x:v>
      </x:c>
      <x:c r="D17" s="45" t="n">
        <x:v>508.44</x:v>
      </x:c>
      <x:c r="E17" s="45" t="n">
        <x:v>391.48</x:v>
      </x:c>
      <x:c r="F17" s="46" t="n">
        <x:f>D17/E17-1</x:f>
        <x:v>0.29876366608766736</x:v>
      </x:c>
      <x:c r="G17" s="45" t="n">
        <x:v>16.24</x:v>
      </x:c>
      <x:c r="H17" s="45" t="n">
        <x:v>-16.8</x:v>
      </x:c>
      <x:c r="I17" s="46" t="str">
        <x:f>IF(H17&gt;0,G17/H17-1,"n.a.")</x:f>
        <x:v>n.a.</x:v>
      </x:c>
      <x:c r="J17" s="47" t="n">
        <x:f>G17-H17</x:f>
        <x:v>33.04</x:v>
      </x:c>
      <x:c r="K17" s="44" t="n">
        <x:f>IF(AND(D17&gt;E17,G17&gt;0,G17&gt;H17),1,0)</x:f>
        <x:v>1</x:v>
      </x:c>
      <x:c r="L17" s="44" t="str">
        <x:v>https://stockanalysis.com/stocks/iot/financials/?p=quarterly</x:v>
      </x:c>
    </x:row>
    <x:row r="18" ht="58" customHeight="1">
      <x:c r="A18" s="42" t="str">
        <x:v>IOT</x:v>
      </x:c>
      <x:c r="B18" s="42" t="str">
        <x:v>Q1 2027</x:v>
      </x:c>
      <x:c r="C18" s="42" t="str">
        <x:v>USD</x:v>
      </x:c>
      <x:c r="D18" s="48" t="n">
        <x:v>478.84</x:v>
      </x:c>
      <x:c r="E18" s="48" t="n">
        <x:v>366.88</x:v>
      </x:c>
      <x:c r="F18" s="49" t="n">
        <x:f>D18/E18-1</x:f>
        <x:v>0.30516790231138247</x:v>
      </x:c>
      <x:c r="G18" s="48" t="n">
        <x:v>44.51</x:v>
      </x:c>
      <x:c r="H18" s="48" t="n">
        <x:v>-22.12</x:v>
      </x:c>
      <x:c r="I18" s="49" t="str">
        <x:f>IF(H18&gt;0,G18/H18-1,"n.a.")</x:f>
        <x:v>n.a.</x:v>
      </x:c>
      <x:c r="J18" s="50" t="n">
        <x:f>G18-H18</x:f>
        <x:v>66.63</x:v>
      </x:c>
      <x:c r="K18" s="42" t="n">
        <x:f>IF(AND(D18&gt;E18,G18&gt;0,G18&gt;H18),1,0)</x:f>
        <x:v>1</x:v>
      </x:c>
      <x:c r="L18" s="42" t="str">
        <x:v>https://stockanalysis.com/stocks/iot/financials/?p=quarterly</x:v>
      </x:c>
    </x:row>
    <x:row r="19" ht="58" customHeight="1">
      <x:c r="A19" s="42" t="str">
        <x:v>IOT</x:v>
      </x:c>
      <x:c r="B19" s="42" t="str">
        <x:v>Q4 2026</x:v>
      </x:c>
      <x:c r="C19" s="42" t="str">
        <x:v>USD</x:v>
      </x:c>
      <x:c r="D19" s="48" t="n">
        <x:v>444.3</x:v>
      </x:c>
      <x:c r="E19" s="48" t="n">
        <x:v>346.29</x:v>
      </x:c>
      <x:c r="F19" s="49" t="n">
        <x:f>D19/E19-1</x:f>
        <x:v>0.28302867538768073</x:v>
      </x:c>
      <x:c r="G19" s="48" t="n">
        <x:v>22.04</x:v>
      </x:c>
      <x:c r="H19" s="48" t="n">
        <x:v>-11.2</x:v>
      </x:c>
      <x:c r="I19" s="49" t="str">
        <x:f>IF(H19&gt;0,G19/H19-1,"n.a.")</x:f>
        <x:v>n.a.</x:v>
      </x:c>
      <x:c r="J19" s="50" t="n">
        <x:f>G19-H19</x:f>
        <x:v>33.239999999999995</x:v>
      </x:c>
      <x:c r="K19" s="42" t="n">
        <x:f>IF(AND(D19&gt;E19,G19&gt;0,G19&gt;H19),1,0)</x:f>
        <x:v>1</x:v>
      </x:c>
      <x:c r="L19" s="42" t="str">
        <x:v>https://stockanalysis.com/stocks/iot/financials/?p=quarterly</x:v>
      </x:c>
    </x:row>
    <x:row r="20" ht="58" customHeight="1">
      <x:c r="A20" s="42" t="str">
        <x:v>IOT</x:v>
      </x:c>
      <x:c r="B20" s="42" t="str">
        <x:v>Q3 2026</x:v>
      </x:c>
      <x:c r="C20" s="42" t="str">
        <x:v>USD</x:v>
      </x:c>
      <x:c r="D20" s="48" t="n">
        <x:v>415.98</x:v>
      </x:c>
      <x:c r="E20" s="48" t="n">
        <x:v>321.98</x:v>
      </x:c>
      <x:c r="F20" s="49" t="n">
        <x:f>D20/E20-1</x:f>
        <x:v>0.29194359898130307</x:v>
      </x:c>
      <x:c r="G20" s="48" t="n">
        <x:v>7.77</x:v>
      </x:c>
      <x:c r="H20" s="48" t="n">
        <x:v>-37.81</x:v>
      </x:c>
      <x:c r="I20" s="49" t="str">
        <x:f>IF(H20&gt;0,G20/H20-1,"n.a.")</x:f>
        <x:v>n.a.</x:v>
      </x:c>
      <x:c r="J20" s="50" t="n">
        <x:f>G20-H20</x:f>
        <x:v>45.58</x:v>
      </x:c>
      <x:c r="K20" s="42" t="n">
        <x:f>IF(AND(D20&gt;E20,G20&gt;0,G20&gt;H20),1,0)</x:f>
        <x:v>1</x:v>
      </x:c>
      <x:c r="L20" s="42" t="str">
        <x:v>https://stockanalysis.com/stocks/iot/financials/?p=quarterly</x:v>
      </x:c>
    </x:row>
    <x:row r="21" ht="58" customHeight="1">
      <x:c r="A21" s="44" t="str">
        <x:v>ADBE</x:v>
      </x:c>
      <x:c r="B21" s="44" t="str">
        <x:v>Q3 2026</x:v>
      </x:c>
      <x:c r="C21" s="44" t="str">
        <x:v>USD</x:v>
      </x:c>
      <x:c r="D21" s="45" t="n">
        <x:v>6760</x:v>
      </x:c>
      <x:c r="E21" s="45" t="n">
        <x:v>5988</x:v>
      </x:c>
      <x:c r="F21" s="46" t="n">
        <x:f>D21/E21-1</x:f>
        <x:v>0.12892451569806274</x:v>
      </x:c>
      <x:c r="G21" s="45" t="n">
        <x:v>1827</x:v>
      </x:c>
      <x:c r="H21" s="45" t="n">
        <x:v>1772</x:v>
      </x:c>
      <x:c r="I21" s="46" t="n">
        <x:f>IF(H21&gt;0,G21/H21-1,"n.a.")</x:f>
        <x:v>0.031038374717832884</x:v>
      </x:c>
      <x:c r="J21" s="47" t="n">
        <x:f>G21-H21</x:f>
        <x:v>55</x:v>
      </x:c>
      <x:c r="K21" s="44" t="n">
        <x:f>IF(AND(D21&gt;E21,G21&gt;0,G21&gt;H21),1,0)</x:f>
        <x:v>1</x:v>
      </x:c>
      <x:c r="L21" s="44" t="str">
        <x:v>https://stockanalysis.com/stocks/adbe/financials/?p=quarterly</x:v>
      </x:c>
    </x:row>
    <x:row r="22" ht="58" customHeight="1">
      <x:c r="A22" s="42" t="str">
        <x:v>ADBE</x:v>
      </x:c>
      <x:c r="B22" s="42" t="str">
        <x:v>Q2 2026</x:v>
      </x:c>
      <x:c r="C22" s="42" t="str">
        <x:v>USD</x:v>
      </x:c>
      <x:c r="D22" s="48" t="n">
        <x:v>6618</x:v>
      </x:c>
      <x:c r="E22" s="48" t="n">
        <x:v>5873</x:v>
      </x:c>
      <x:c r="F22" s="49" t="n">
        <x:f>D22/E22-1</x:f>
        <x:v>0.12685169419376807</x:v>
      </x:c>
      <x:c r="G22" s="48" t="n">
        <x:v>1712</x:v>
      </x:c>
      <x:c r="H22" s="48" t="n">
        <x:v>1691</x:v>
      </x:c>
      <x:c r="I22" s="49" t="n">
        <x:f>IF(H22&gt;0,G22/H22-1,"n.a.")</x:f>
        <x:v>0.012418687167356612</x:v>
      </x:c>
      <x:c r="J22" s="50" t="n">
        <x:f>G22-H22</x:f>
        <x:v>21</x:v>
      </x:c>
      <x:c r="K22" s="42" t="n">
        <x:f>IF(AND(D22&gt;E22,G22&gt;0,G22&gt;H22),1,0)</x:f>
        <x:v>1</x:v>
      </x:c>
      <x:c r="L22" s="42" t="str">
        <x:v>https://stockanalysis.com/stocks/adbe/financials/?p=quarterly</x:v>
      </x:c>
    </x:row>
    <x:row r="23" ht="58" customHeight="1">
      <x:c r="A23" s="42" t="str">
        <x:v>ADBE</x:v>
      </x:c>
      <x:c r="B23" s="42" t="str">
        <x:v>Q1 2026</x:v>
      </x:c>
      <x:c r="C23" s="42" t="str">
        <x:v>USD</x:v>
      </x:c>
      <x:c r="D23" s="48" t="n">
        <x:v>6398</x:v>
      </x:c>
      <x:c r="E23" s="48" t="n">
        <x:v>5714</x:v>
      </x:c>
      <x:c r="F23" s="49" t="n">
        <x:f>D23/E23-1</x:f>
        <x:v>0.11970598529926502</x:v>
      </x:c>
      <x:c r="G23" s="48" t="n">
        <x:v>1889</x:v>
      </x:c>
      <x:c r="H23" s="48" t="n">
        <x:v>1811</x:v>
      </x:c>
      <x:c r="I23" s="49" t="n">
        <x:f>IF(H23&gt;0,G23/H23-1,"n.a.")</x:f>
        <x:v>0.043070127001656466</x:v>
      </x:c>
      <x:c r="J23" s="50" t="n">
        <x:f>G23-H23</x:f>
        <x:v>78</x:v>
      </x:c>
      <x:c r="K23" s="42" t="n">
        <x:f>IF(AND(D23&gt;E23,G23&gt;0,G23&gt;H23),1,0)</x:f>
        <x:v>1</x:v>
      </x:c>
      <x:c r="L23" s="42" t="str">
        <x:v>https://stockanalysis.com/stocks/adbe/financials/?p=quarterly</x:v>
      </x:c>
    </x:row>
    <x:row r="24" ht="58" customHeight="1">
      <x:c r="A24" s="42" t="str">
        <x:v>ADBE</x:v>
      </x:c>
      <x:c r="B24" s="42" t="str">
        <x:v>Q4 2025</x:v>
      </x:c>
      <x:c r="C24" s="42" t="str">
        <x:v>USD</x:v>
      </x:c>
      <x:c r="D24" s="48" t="n">
        <x:v>6194</x:v>
      </x:c>
      <x:c r="E24" s="48" t="n">
        <x:v>5606</x:v>
      </x:c>
      <x:c r="F24" s="49" t="n">
        <x:f>D24/E24-1</x:f>
        <x:v>0.10488762040670707</x:v>
      </x:c>
      <x:c r="G24" s="48" t="n">
        <x:v>1856</x:v>
      </x:c>
      <x:c r="H24" s="48" t="n">
        <x:v>1683</x:v>
      </x:c>
      <x:c r="I24" s="49" t="n">
        <x:f>IF(H24&gt;0,G24/H24-1,"n.a.")</x:f>
        <x:v>0.10279263220439683</x:v>
      </x:c>
      <x:c r="J24" s="50" t="n">
        <x:f>G24-H24</x:f>
        <x:v>173</x:v>
      </x:c>
      <x:c r="K24" s="42" t="n">
        <x:f>IF(AND(D24&gt;E24,G24&gt;0,G24&gt;H24),1,0)</x:f>
        <x:v>1</x:v>
      </x:c>
      <x:c r="L24" s="42" t="str">
        <x:v>https://stockanalysis.com/stocks/adbe/financials/?p=quarterly</x:v>
      </x:c>
    </x:row>
    <x:row r="25" ht="58" customHeight="1">
      <x:c r="A25" s="44" t="str">
        <x:v>ADSK</x:v>
      </x:c>
      <x:c r="B25" s="44" t="str">
        <x:v>Q2 2027</x:v>
      </x:c>
      <x:c r="C25" s="44" t="str">
        <x:v>USD</x:v>
      </x:c>
      <x:c r="D25" s="45" t="n">
        <x:v>2046</x:v>
      </x:c>
      <x:c r="E25" s="45" t="n">
        <x:v>1763</x:v>
      </x:c>
      <x:c r="F25" s="46" t="n">
        <x:f>D25/E25-1</x:f>
        <x:v>0.1605218377765174</x:v>
      </x:c>
      <x:c r="G25" s="45" t="n">
        <x:v>492</x:v>
      </x:c>
      <x:c r="H25" s="45" t="n">
        <x:v>313</x:v>
      </x:c>
      <x:c r="I25" s="46" t="n">
        <x:f>IF(H25&gt;0,G25/H25-1,"n.a.")</x:f>
        <x:v>0.5718849840255591</x:v>
      </x:c>
      <x:c r="J25" s="47" t="n">
        <x:f>G25-H25</x:f>
        <x:v>179</x:v>
      </x:c>
      <x:c r="K25" s="44" t="n">
        <x:f>IF(AND(D25&gt;E25,G25&gt;0,G25&gt;H25),1,0)</x:f>
        <x:v>1</x:v>
      </x:c>
      <x:c r="L25" s="44" t="str">
        <x:v>https://stockanalysis.com/stocks/adsk/financials/?p=quarterly</x:v>
      </x:c>
    </x:row>
    <x:row r="26" ht="58" customHeight="1">
      <x:c r="A26" s="42" t="str">
        <x:v>ADSK</x:v>
      </x:c>
      <x:c r="B26" s="42" t="str">
        <x:v>Q1 2027</x:v>
      </x:c>
      <x:c r="C26" s="42" t="str">
        <x:v>USD</x:v>
      </x:c>
      <x:c r="D26" s="48" t="n">
        <x:v>1934</x:v>
      </x:c>
      <x:c r="E26" s="48" t="n">
        <x:v>1633</x:v>
      </x:c>
      <x:c r="F26" s="49" t="n">
        <x:f>D26/E26-1</x:f>
        <x:v>0.18432333129210043</x:v>
      </x:c>
      <x:c r="G26" s="48" t="n">
        <x:v>491</x:v>
      </x:c>
      <x:c r="H26" s="48" t="n">
        <x:v>152</x:v>
      </x:c>
      <x:c r="I26" s="49" t="n">
        <x:f>IF(H26&gt;0,G26/H26-1,"n.a.")</x:f>
        <x:v>2.2302631578947367</x:v>
      </x:c>
      <x:c r="J26" s="50" t="n">
        <x:f>G26-H26</x:f>
        <x:v>339</x:v>
      </x:c>
      <x:c r="K26" s="42" t="n">
        <x:f>IF(AND(D26&gt;E26,G26&gt;0,G26&gt;H26),1,0)</x:f>
        <x:v>1</x:v>
      </x:c>
      <x:c r="L26" s="42" t="str">
        <x:v>https://stockanalysis.com/stocks/adsk/financials/?p=quarterly</x:v>
      </x:c>
    </x:row>
    <x:row r="27" ht="58" customHeight="1">
      <x:c r="A27" s="42" t="str">
        <x:v>ADSK</x:v>
      </x:c>
      <x:c r="B27" s="42" t="str">
        <x:v>Q4 2026</x:v>
      </x:c>
      <x:c r="C27" s="42" t="str">
        <x:v>USD</x:v>
      </x:c>
      <x:c r="D27" s="48" t="n">
        <x:v>1957</x:v>
      </x:c>
      <x:c r="E27" s="48" t="n">
        <x:v>1639</x:v>
      </x:c>
      <x:c r="F27" s="49" t="n">
        <x:f>D27/E27-1</x:f>
        <x:v>0.1940207443563149</x:v>
      </x:c>
      <x:c r="G27" s="48" t="n">
        <x:v>316</x:v>
      </x:c>
      <x:c r="H27" s="48" t="n">
        <x:v>303</x:v>
      </x:c>
      <x:c r="I27" s="49" t="n">
        <x:f>IF(H27&gt;0,G27/H27-1,"n.a.")</x:f>
        <x:v>0.04290429042904287</x:v>
      </x:c>
      <x:c r="J27" s="50" t="n">
        <x:f>G27-H27</x:f>
        <x:v>13</x:v>
      </x:c>
      <x:c r="K27" s="42" t="n">
        <x:f>IF(AND(D27&gt;E27,G27&gt;0,G27&gt;H27),1,0)</x:f>
        <x:v>1</x:v>
      </x:c>
      <x:c r="L27" s="42" t="str">
        <x:v>https://stockanalysis.com/stocks/adsk/financials/?p=quarterly</x:v>
      </x:c>
    </x:row>
    <x:row r="28" ht="58" customHeight="1">
      <x:c r="A28" s="42" t="str">
        <x:v>ADSK</x:v>
      </x:c>
      <x:c r="B28" s="42" t="str">
        <x:v>Q3 2026</x:v>
      </x:c>
      <x:c r="C28" s="42" t="str">
        <x:v>USD</x:v>
      </x:c>
      <x:c r="D28" s="48" t="n">
        <x:v>1853</x:v>
      </x:c>
      <x:c r="E28" s="48" t="n">
        <x:v>1570</x:v>
      </x:c>
      <x:c r="F28" s="49" t="n">
        <x:f>D28/E28-1</x:f>
        <x:v>0.18025477707006377</x:v>
      </x:c>
      <x:c r="G28" s="48" t="n">
        <x:v>343</x:v>
      </x:c>
      <x:c r="H28" s="48" t="n">
        <x:v>275</x:v>
      </x:c>
      <x:c r="I28" s="49" t="n">
        <x:f>IF(H28&gt;0,G28/H28-1,"n.a.")</x:f>
        <x:v>0.2472727272727273</x:v>
      </x:c>
      <x:c r="J28" s="50" t="n">
        <x:f>G28-H28</x:f>
        <x:v>68</x:v>
      </x:c>
      <x:c r="K28" s="42" t="n">
        <x:f>IF(AND(D28&gt;E28,G28&gt;0,G28&gt;H28),1,0)</x:f>
        <x:v>1</x:v>
      </x:c>
      <x:c r="L28" s="42" t="str">
        <x:v>https://stockanalysis.com/stocks/adsk/financials/?p=quarterly</x:v>
      </x:c>
    </x:row>
    <x:row r="29" ht="58" customHeight="1">
      <x:c r="A29" s="44" t="str">
        <x:v>APP</x:v>
      </x:c>
      <x:c r="B29" s="44" t="str">
        <x:v>Q2 2026</x:v>
      </x:c>
      <x:c r="C29" s="44" t="str">
        <x:v>USD</x:v>
      </x:c>
      <x:c r="D29" s="45" t="n">
        <x:v>1924</x:v>
      </x:c>
      <x:c r="E29" s="45" t="n">
        <x:v>1259</x:v>
      </x:c>
      <x:c r="F29" s="46" t="n">
        <x:f>D29/E29-1</x:f>
        <x:v>0.5281969817315331</x:v>
      </x:c>
      <x:c r="G29" s="45" t="n">
        <x:v>1267</x:v>
      </x:c>
      <x:c r="H29" s="45" t="n">
        <x:v>819.34</x:v>
      </x:c>
      <x:c r="I29" s="46" t="n">
        <x:f>IF(H29&gt;0,G29/H29-1,"n.a.")</x:f>
        <x:v>0.5463665877413528</x:v>
      </x:c>
      <x:c r="J29" s="47" t="n">
        <x:f>G29-H29</x:f>
        <x:v>447.65999999999997</x:v>
      </x:c>
      <x:c r="K29" s="44" t="n">
        <x:f>IF(AND(D29&gt;E29,G29&gt;0,G29&gt;H29),1,0)</x:f>
        <x:v>1</x:v>
      </x:c>
      <x:c r="L29" s="44" t="str">
        <x:v>https://stockanalysis.com/stocks/app/financials/?p=quarterly</x:v>
      </x:c>
    </x:row>
    <x:row r="30" ht="58" customHeight="1">
      <x:c r="A30" s="42" t="str">
        <x:v>APP</x:v>
      </x:c>
      <x:c r="B30" s="42" t="str">
        <x:v>Q1 2026</x:v>
      </x:c>
      <x:c r="C30" s="42" t="str">
        <x:v>USD</x:v>
      </x:c>
      <x:c r="D30" s="48" t="n">
        <x:v>1842</x:v>
      </x:c>
      <x:c r="E30" s="48" t="n">
        <x:v>1159</x:v>
      </x:c>
      <x:c r="F30" s="49" t="n">
        <x:f>D30/E30-1</x:f>
        <x:v>0.5893011216566004</x:v>
      </x:c>
      <x:c r="G30" s="48" t="n">
        <x:v>1206</x:v>
      </x:c>
      <x:c r="H30" s="48" t="n">
        <x:v>576.24</x:v>
      </x:c>
      <x:c r="I30" s="49" t="n">
        <x:f>IF(H30&gt;0,G30/H30-1,"n.a.")</x:f>
        <x:v>1.092877967513536</x:v>
      </x:c>
      <x:c r="J30" s="50" t="n">
        <x:f>G30-H30</x:f>
        <x:v>629.76</x:v>
      </x:c>
      <x:c r="K30" s="42" t="n">
        <x:f>IF(AND(D30&gt;E30,G30&gt;0,G30&gt;H30),1,0)</x:f>
        <x:v>1</x:v>
      </x:c>
      <x:c r="L30" s="42" t="str">
        <x:v>https://stockanalysis.com/stocks/app/financials/?p=quarterly</x:v>
      </x:c>
    </x:row>
    <x:row r="31" ht="58" customHeight="1">
      <x:c r="A31" s="42" t="str">
        <x:v>APP</x:v>
      </x:c>
      <x:c r="B31" s="42" t="str">
        <x:v>Q4 2025</x:v>
      </x:c>
      <x:c r="C31" s="42" t="str">
        <x:v>USD</x:v>
      </x:c>
      <x:c r="D31" s="48" t="n">
        <x:v>1658</x:v>
      </x:c>
      <x:c r="E31" s="48" t="n">
        <x:v>999.49</x:v>
      </x:c>
      <x:c r="F31" s="49" t="n">
        <x:f>D31/E31-1</x:f>
        <x:v>0.6588460114658476</x:v>
      </x:c>
      <x:c r="G31" s="48" t="n">
        <x:v>1102</x:v>
      </x:c>
      <x:c r="H31" s="48" t="n">
        <x:v>598.65</x:v>
      </x:c>
      <x:c r="I31" s="49" t="n">
        <x:f>IF(H31&gt;0,G31/H31-1,"n.a.")</x:f>
        <x:v>0.8408084857596259</x:v>
      </x:c>
      <x:c r="J31" s="50" t="n">
        <x:f>G31-H31</x:f>
        <x:v>503.35</x:v>
      </x:c>
      <x:c r="K31" s="42" t="n">
        <x:f>IF(AND(D31&gt;E31,G31&gt;0,G31&gt;H31),1,0)</x:f>
        <x:v>1</x:v>
      </x:c>
      <x:c r="L31" s="42" t="str">
        <x:v>https://stockanalysis.com/stocks/app/financials/?p=quarterly</x:v>
      </x:c>
    </x:row>
    <x:row r="32" ht="58" customHeight="1">
      <x:c r="A32" s="42" t="str">
        <x:v>APP</x:v>
      </x:c>
      <x:c r="B32" s="42" t="str">
        <x:v>Q3 2025</x:v>
      </x:c>
      <x:c r="C32" s="42" t="str">
        <x:v>USD</x:v>
      </x:c>
      <x:c r="D32" s="48" t="n">
        <x:v>1405</x:v>
      </x:c>
      <x:c r="E32" s="48" t="n">
        <x:v>835.19</x:v>
      </x:c>
      <x:c r="F32" s="49" t="n">
        <x:f>D32/E32-1</x:f>
        <x:v>0.6822519426717273</x:v>
      </x:c>
      <x:c r="G32" s="48" t="n">
        <x:v>835.5</x:v>
      </x:c>
      <x:c r="H32" s="48" t="n">
        <x:v>434.31</x:v>
      </x:c>
      <x:c r="I32" s="49" t="n">
        <x:f>IF(H32&gt;0,G32/H32-1,"n.a.")</x:f>
        <x:v>0.9237411065828556</x:v>
      </x:c>
      <x:c r="J32" s="50" t="n">
        <x:f>G32-H32</x:f>
        <x:v>401.19</x:v>
      </x:c>
      <x:c r="K32" s="42" t="n">
        <x:f>IF(AND(D32&gt;E32,G32&gt;0,G32&gt;H32),1,0)</x:f>
        <x:v>1</x:v>
      </x:c>
      <x:c r="L32" s="42" t="str">
        <x:v>https://stockanalysis.com/stocks/app/financials/?p=quarterly</x:v>
      </x:c>
    </x:row>
    <x:row r="33" ht="58" customHeight="1">
      <x:c r="A33" s="44" t="str">
        <x:v>ACN</x:v>
      </x:c>
      <x:c r="B33" s="44" t="str">
        <x:v>Q4 2026</x:v>
      </x:c>
      <x:c r="C33" s="44" t="str">
        <x:v>USD</x:v>
      </x:c>
      <x:c r="D33" s="45" t="n">
        <x:v>18679</x:v>
      </x:c>
      <x:c r="E33" s="45" t="n">
        <x:v>17596</x:v>
      </x:c>
      <x:c r="F33" s="46" t="n">
        <x:f>D33/E33-1</x:f>
        <x:v>0.06154807910888849</x:v>
      </x:c>
      <x:c r="G33" s="45" t="n">
        <x:v>1991</x:v>
      </x:c>
      <x:c r="H33" s="45" t="n">
        <x:v>1414</x:v>
      </x:c>
      <x:c r="I33" s="46" t="n">
        <x:f>IF(H33&gt;0,G33/H33-1,"n.a.")</x:f>
        <x:v>0.4080622347949081</x:v>
      </x:c>
      <x:c r="J33" s="47" t="n">
        <x:f>G33-H33</x:f>
        <x:v>577</x:v>
      </x:c>
      <x:c r="K33" s="44" t="n">
        <x:f>IF(AND(D33&gt;E33,G33&gt;0,G33&gt;H33),1,0)</x:f>
        <x:v>1</x:v>
      </x:c>
      <x:c r="L33" s="44" t="str">
        <x:v>https://stockanalysis.com/stocks/acn/financials/?p=quarterly</x:v>
      </x:c>
    </x:row>
    <x:row r="34" ht="58" customHeight="1">
      <x:c r="A34" s="42" t="str">
        <x:v>ACN</x:v>
      </x:c>
      <x:c r="B34" s="42" t="str">
        <x:v>Q3 2026</x:v>
      </x:c>
      <x:c r="C34" s="42" t="str">
        <x:v>USD</x:v>
      </x:c>
      <x:c r="D34" s="48" t="n">
        <x:v>18718</x:v>
      </x:c>
      <x:c r="E34" s="48" t="n">
        <x:v>17728</x:v>
      </x:c>
      <x:c r="F34" s="49" t="n">
        <x:f>D34/E34-1</x:f>
        <x:v>0.05584386281588438</x:v>
      </x:c>
      <x:c r="G34" s="48" t="n">
        <x:v>2339</x:v>
      </x:c>
      <x:c r="H34" s="48" t="n">
        <x:v>2198</x:v>
      </x:c>
      <x:c r="I34" s="49" t="n">
        <x:f>IF(H34&gt;0,G34/H34-1,"n.a.")</x:f>
        <x:v>0.06414922656960864</x:v>
      </x:c>
      <x:c r="J34" s="50" t="n">
        <x:f>G34-H34</x:f>
        <x:v>141</x:v>
      </x:c>
      <x:c r="K34" s="42" t="n">
        <x:f>IF(AND(D34&gt;E34,G34&gt;0,G34&gt;H34),1,0)</x:f>
        <x:v>1</x:v>
      </x:c>
      <x:c r="L34" s="42" t="str">
        <x:v>https://stockanalysis.com/stocks/acn/financials/?p=quarterly</x:v>
      </x:c>
    </x:row>
    <x:row r="35" ht="58" customHeight="1">
      <x:c r="A35" s="42" t="str">
        <x:v>ACN</x:v>
      </x:c>
      <x:c r="B35" s="42" t="str">
        <x:v>Q2 2026</x:v>
      </x:c>
      <x:c r="C35" s="42" t="str">
        <x:v>USD</x:v>
      </x:c>
      <x:c r="D35" s="48" t="n">
        <x:v>18044</x:v>
      </x:c>
      <x:c r="E35" s="48" t="n">
        <x:v>16659</x:v>
      </x:c>
      <x:c r="F35" s="49" t="n">
        <x:f>D35/E35-1</x:f>
        <x:v>0.08313824359205224</x:v>
      </x:c>
      <x:c r="G35" s="48" t="n">
        <x:v>1825</x:v>
      </x:c>
      <x:c r="H35" s="48" t="n">
        <x:v>1788</x:v>
      </x:c>
      <x:c r="I35" s="49" t="n">
        <x:f>IF(H35&gt;0,G35/H35-1,"n.a.")</x:f>
        <x:v>0.02069351230425065</x:v>
      </x:c>
      <x:c r="J35" s="50" t="n">
        <x:f>G35-H35</x:f>
        <x:v>37</x:v>
      </x:c>
      <x:c r="K35" s="42" t="n">
        <x:f>IF(AND(D35&gt;E35,G35&gt;0,G35&gt;H35),1,0)</x:f>
        <x:v>1</x:v>
      </x:c>
      <x:c r="L35" s="42" t="str">
        <x:v>https://stockanalysis.com/stocks/acn/financials/?p=quarterly</x:v>
      </x:c>
    </x:row>
    <x:row r="36" ht="58" customHeight="1">
      <x:c r="A36" s="42" t="str">
        <x:v>ACN</x:v>
      </x:c>
      <x:c r="B36" s="42" t="str">
        <x:v>Q1 2026</x:v>
      </x:c>
      <x:c r="C36" s="42" t="str">
        <x:v>USD</x:v>
      </x:c>
      <x:c r="D36" s="48" t="n">
        <x:v>18742</x:v>
      </x:c>
      <x:c r="E36" s="48" t="n">
        <x:v>17690</x:v>
      </x:c>
      <x:c r="F36" s="49" t="n">
        <x:f>D36/E36-1</x:f>
        <x:v>0.05946862634256633</x:v>
      </x:c>
      <x:c r="G36" s="48" t="n">
        <x:v>2212</x:v>
      </x:c>
      <x:c r="H36" s="48" t="n">
        <x:v>2279</x:v>
      </x:c>
      <x:c r="I36" s="49" t="n">
        <x:f>IF(H36&gt;0,G36/H36-1,"n.a.")</x:f>
        <x:v>-0.0293988591487494</x:v>
      </x:c>
      <x:c r="J36" s="50" t="n">
        <x:f>G36-H36</x:f>
        <x:v>-67</x:v>
      </x:c>
      <x:c r="K36" s="42" t="n">
        <x:f>IF(AND(D36&gt;E36,G36&gt;0,G36&gt;H36),1,0)</x:f>
        <x:v>0</x:v>
      </x:c>
      <x:c r="L36" s="42" t="str">
        <x:v>https://stockanalysis.com/stocks/acn/financials/?p=quarterly</x:v>
      </x:c>
    </x:row>
    <x:row r="37" ht="58" customHeight="1">
      <x:c r="A37" s="44" t="str">
        <x:v>SAP</x:v>
      </x:c>
      <x:c r="B37" s="44" t="str">
        <x:v>Q2 2026</x:v>
      </x:c>
      <x:c r="C37" s="44" t="str">
        <x:v>EUR</x:v>
      </x:c>
      <x:c r="D37" s="45" t="n">
        <x:v>9877</x:v>
      </x:c>
      <x:c r="E37" s="45" t="n">
        <x:v>9027</x:v>
      </x:c>
      <x:c r="F37" s="46" t="n">
        <x:f>D37/E37-1</x:f>
        <x:v>0.09416195856873832</x:v>
      </x:c>
      <x:c r="G37" s="45" t="n">
        <x:v>2180</x:v>
      </x:c>
      <x:c r="H37" s="45" t="n">
        <x:v>1697</x:v>
      </x:c>
      <x:c r="I37" s="46" t="n">
        <x:f>IF(H37&gt;0,G37/H37-1,"n.a.")</x:f>
        <x:v>0.2846199175014732</x:v>
      </x:c>
      <x:c r="J37" s="47" t="n">
        <x:f>G37-H37</x:f>
        <x:v>483</x:v>
      </x:c>
      <x:c r="K37" s="44" t="n">
        <x:f>IF(AND(D37&gt;E37,G37&gt;0,G37&gt;H37),1,0)</x:f>
        <x:v>1</x:v>
      </x:c>
      <x:c r="L37" s="44" t="str">
        <x:v>https://stockanalysis.com/stocks/sap/financials/?p=quarterly</x:v>
      </x:c>
    </x:row>
    <x:row r="38" ht="58" customHeight="1">
      <x:c r="A38" s="42" t="str">
        <x:v>SAP</x:v>
      </x:c>
      <x:c r="B38" s="42" t="str">
        <x:v>Q1 2026</x:v>
      </x:c>
      <x:c r="C38" s="42" t="str">
        <x:v>EUR</x:v>
      </x:c>
      <x:c r="D38" s="48" t="n">
        <x:v>9555</x:v>
      </x:c>
      <x:c r="E38" s="48" t="n">
        <x:v>9013</x:v>
      </x:c>
      <x:c r="F38" s="49" t="n">
        <x:f>D38/E38-1</x:f>
        <x:v>0.06013536003550435</x:v>
      </x:c>
      <x:c r="G38" s="48" t="n">
        <x:v>1932</x:v>
      </x:c>
      <x:c r="H38" s="48" t="n">
        <x:v>1780</x:v>
      </x:c>
      <x:c r="I38" s="49" t="n">
        <x:f>IF(H38&gt;0,G38/H38-1,"n.a.")</x:f>
        <x:v>0.08539325842696632</x:v>
      </x:c>
      <x:c r="J38" s="50" t="n">
        <x:f>G38-H38</x:f>
        <x:v>152</x:v>
      </x:c>
      <x:c r="K38" s="42" t="n">
        <x:f>IF(AND(D38&gt;E38,G38&gt;0,G38&gt;H38),1,0)</x:f>
        <x:v>1</x:v>
      </x:c>
      <x:c r="L38" s="42" t="str">
        <x:v>https://stockanalysis.com/stocks/sap/financials/?p=quarterly</x:v>
      </x:c>
    </x:row>
    <x:row r="39" ht="58" customHeight="1">
      <x:c r="A39" s="42" t="str">
        <x:v>SAP</x:v>
      </x:c>
      <x:c r="B39" s="42" t="str">
        <x:v>Q4 2025</x:v>
      </x:c>
      <x:c r="C39" s="42" t="str">
        <x:v>EUR</x:v>
      </x:c>
      <x:c r="D39" s="48" t="n">
        <x:v>9684</x:v>
      </x:c>
      <x:c r="E39" s="48" t="n">
        <x:v>9378</x:v>
      </x:c>
      <x:c r="F39" s="49" t="n">
        <x:f>D39/E39-1</x:f>
        <x:v>0.03262955854126681</x:v>
      </x:c>
      <x:c r="G39" s="48" t="n">
        <x:v>1680</x:v>
      </x:c>
      <x:c r="H39" s="48" t="n">
        <x:v>1601</x:v>
      </x:c>
      <x:c r="I39" s="49" t="n">
        <x:f>IF(H39&gt;0,G39/H39-1,"n.a.")</x:f>
        <x:v>0.049344159900062357</x:v>
      </x:c>
      <x:c r="J39" s="50" t="n">
        <x:f>G39-H39</x:f>
        <x:v>79</x:v>
      </x:c>
      <x:c r="K39" s="42" t="n">
        <x:f>IF(AND(D39&gt;E39,G39&gt;0,G39&gt;H39),1,0)</x:f>
        <x:v>1</x:v>
      </x:c>
      <x:c r="L39" s="42" t="str">
        <x:v>https://stockanalysis.com/stocks/sap/financials/?p=quarterly</x:v>
      </x:c>
    </x:row>
    <x:row r="40" ht="58" customHeight="1">
      <x:c r="A40" s="42" t="str">
        <x:v>SAP</x:v>
      </x:c>
      <x:c r="B40" s="42" t="str">
        <x:v>Q3 2025</x:v>
      </x:c>
      <x:c r="C40" s="42" t="str">
        <x:v>EUR</x:v>
      </x:c>
      <x:c r="D40" s="48" t="n">
        <x:v>9076</x:v>
      </x:c>
      <x:c r="E40" s="48" t="n">
        <x:v>8470</x:v>
      </x:c>
      <x:c r="F40" s="49" t="n">
        <x:f>D40/E40-1</x:f>
        <x:v>0.07154663518299875</x:v>
      </x:c>
      <x:c r="G40" s="48" t="n">
        <x:v>2004</x:v>
      </x:c>
      <x:c r="H40" s="48" t="n">
        <x:v>1463</x:v>
      </x:c>
      <x:c r="I40" s="49" t="n">
        <x:f>IF(H40&gt;0,G40/H40-1,"n.a.")</x:f>
        <x:v>0.369788106630212</x:v>
      </x:c>
      <x:c r="J40" s="50" t="n">
        <x:f>G40-H40</x:f>
        <x:v>541</x:v>
      </x:c>
      <x:c r="K40" s="42" t="n">
        <x:f>IF(AND(D40&gt;E40,G40&gt;0,G40&gt;H40),1,0)</x:f>
        <x:v>1</x:v>
      </x:c>
      <x:c r="L40" s="42" t="str">
        <x:v>https://stockanalysis.com/stocks/sap/financials/?p=quarterly</x:v>
      </x:c>
    </x:row>
    <x:row r="41" ht="58" customHeight="1">
      <x:c r="A41" s="44" t="str">
        <x:v>ISRG</x:v>
      </x:c>
      <x:c r="B41" s="44" t="str">
        <x:v>Q2 2026</x:v>
      </x:c>
      <x:c r="C41" s="44" t="str">
        <x:v>USD</x:v>
      </x:c>
      <x:c r="D41" s="45" t="n">
        <x:v>2892</x:v>
      </x:c>
      <x:c r="E41" s="45" t="n">
        <x:v>2440</x:v>
      </x:c>
      <x:c r="F41" s="46" t="n">
        <x:f>D41/E41-1</x:f>
        <x:v>0.18524590163934418</x:v>
      </x:c>
      <x:c r="G41" s="45" t="n">
        <x:v>818.1</x:v>
      </x:c>
      <x:c r="H41" s="45" t="n">
        <x:v>658.4</x:v>
      </x:c>
      <x:c r="I41" s="46" t="n">
        <x:f>IF(H41&gt;0,G41/H41-1,"n.a.")</x:f>
        <x:v>0.24255771567436213</x:v>
      </x:c>
      <x:c r="J41" s="47" t="n">
        <x:f>G41-H41</x:f>
        <x:v>159.70000000000005</x:v>
      </x:c>
      <x:c r="K41" s="44" t="n">
        <x:f>IF(AND(D41&gt;E41,G41&gt;0,G41&gt;H41),1,0)</x:f>
        <x:v>1</x:v>
      </x:c>
      <x:c r="L41" s="44" t="str">
        <x:v>https://stockanalysis.com/stocks/isrg/financials/?p=quarterly</x:v>
      </x:c>
    </x:row>
    <x:row r="42" ht="58" customHeight="1">
      <x:c r="A42" s="42" t="str">
        <x:v>ISRG</x:v>
      </x:c>
      <x:c r="B42" s="42" t="str">
        <x:v>Q1 2026</x:v>
      </x:c>
      <x:c r="C42" s="42" t="str">
        <x:v>USD</x:v>
      </x:c>
      <x:c r="D42" s="48" t="n">
        <x:v>2771</x:v>
      </x:c>
      <x:c r="E42" s="48" t="n">
        <x:v>2253</x:v>
      </x:c>
      <x:c r="F42" s="49" t="n">
        <x:f>D42/E42-1</x:f>
        <x:v>0.2299156679982246</x:v>
      </x:c>
      <x:c r="G42" s="48" t="n">
        <x:v>821.5</x:v>
      </x:c>
      <x:c r="H42" s="48" t="n">
        <x:v>698.4</x:v>
      </x:c>
      <x:c r="I42" s="49" t="n">
        <x:f>IF(H42&gt;0,G42/H42-1,"n.a.")</x:f>
        <x:v>0.17626002290950749</x:v>
      </x:c>
      <x:c r="J42" s="50" t="n">
        <x:f>G42-H42</x:f>
        <x:v>123.10000000000002</x:v>
      </x:c>
      <x:c r="K42" s="42" t="n">
        <x:f>IF(AND(D42&gt;E42,G42&gt;0,G42&gt;H42),1,0)</x:f>
        <x:v>1</x:v>
      </x:c>
      <x:c r="L42" s="42" t="str">
        <x:v>https://stockanalysis.com/stocks/isrg/financials/?p=quarterly</x:v>
      </x:c>
    </x:row>
    <x:row r="43" ht="58" customHeight="1">
      <x:c r="A43" s="42" t="str">
        <x:v>ISRG</x:v>
      </x:c>
      <x:c r="B43" s="42" t="str">
        <x:v>Q4 2025</x:v>
      </x:c>
      <x:c r="C43" s="42" t="str">
        <x:v>USD</x:v>
      </x:c>
      <x:c r="D43" s="48" t="n">
        <x:v>2866</x:v>
      </x:c>
      <x:c r="E43" s="48" t="n">
        <x:v>2414</x:v>
      </x:c>
      <x:c r="F43" s="49" t="n">
        <x:f>D43/E43-1</x:f>
        <x:v>0.18724109362054686</x:v>
      </x:c>
      <x:c r="G43" s="48" t="n">
        <x:v>794.8</x:v>
      </x:c>
      <x:c r="H43" s="48" t="n">
        <x:v>685.7</x:v>
      </x:c>
      <x:c r="I43" s="49" t="n">
        <x:f>IF(H43&gt;0,G43/H43-1,"n.a.")</x:f>
        <x:v>0.1591074814058624</x:v>
      </x:c>
      <x:c r="J43" s="50" t="n">
        <x:f>G43-H43</x:f>
        <x:v>109.09999999999991</x:v>
      </x:c>
      <x:c r="K43" s="42" t="n">
        <x:f>IF(AND(D43&gt;E43,G43&gt;0,G43&gt;H43),1,0)</x:f>
        <x:v>1</x:v>
      </x:c>
      <x:c r="L43" s="42" t="str">
        <x:v>https://stockanalysis.com/stocks/isrg/financials/?p=quarterly</x:v>
      </x:c>
    </x:row>
    <x:row r="44" ht="58" customHeight="1">
      <x:c r="A44" s="42" t="str">
        <x:v>ISRG</x:v>
      </x:c>
      <x:c r="B44" s="42" t="str">
        <x:v>Q3 2025</x:v>
      </x:c>
      <x:c r="C44" s="42" t="str">
        <x:v>USD</x:v>
      </x:c>
      <x:c r="D44" s="48" t="n">
        <x:v>2505</x:v>
      </x:c>
      <x:c r="E44" s="48" t="n">
        <x:v>2038</x:v>
      </x:c>
      <x:c r="F44" s="49" t="n">
        <x:f>D44/E44-1</x:f>
        <x:v>0.2291462217860647</x:v>
      </x:c>
      <x:c r="G44" s="48" t="n">
        <x:v>704.4</x:v>
      </x:c>
      <x:c r="H44" s="48" t="n">
        <x:v>565.1</x:v>
      </x:c>
      <x:c r="I44" s="49" t="n">
        <x:f>IF(H44&gt;0,G44/H44-1,"n.a.")</x:f>
        <x:v>0.24650504335515833</x:v>
      </x:c>
      <x:c r="J44" s="50" t="n">
        <x:f>G44-H44</x:f>
        <x:v>139.29999999999995</x:v>
      </x:c>
      <x:c r="K44" s="42" t="n">
        <x:f>IF(AND(D44&gt;E44,G44&gt;0,G44&gt;H44),1,0)</x:f>
        <x:v>1</x:v>
      </x:c>
      <x:c r="L44" s="42" t="str">
        <x:v>https://stockanalysis.com/stocks/isrg/financials/?p=quarterly</x:v>
      </x:c>
    </x:row>
    <x:row r="45" ht="58" customHeight="1">
      <x:c r="A45" s="44" t="str">
        <x:v>MDB</x:v>
      </x:c>
      <x:c r="B45" s="44" t="str">
        <x:v>Q2 2027</x:v>
      </x:c>
      <x:c r="C45" s="44" t="str">
        <x:v>USD</x:v>
      </x:c>
      <x:c r="D45" s="45" t="n">
        <x:v>771.77</x:v>
      </x:c>
      <x:c r="E45" s="45" t="n">
        <x:v>591.4</x:v>
      </x:c>
      <x:c r="F45" s="46" t="n">
        <x:f>D45/E45-1</x:f>
        <x:v>0.30498816367940473</x:v>
      </x:c>
      <x:c r="G45" s="45" t="n">
        <x:v>40.94</x:v>
      </x:c>
      <x:c r="H45" s="45" t="n">
        <x:v>-47.05</x:v>
      </x:c>
      <x:c r="I45" s="46" t="str">
        <x:f>IF(H45&gt;0,G45/H45-1,"n.a.")</x:f>
        <x:v>n.a.</x:v>
      </x:c>
      <x:c r="J45" s="47" t="n">
        <x:f>G45-H45</x:f>
        <x:v>87.99</x:v>
      </x:c>
      <x:c r="K45" s="44" t="n">
        <x:f>IF(AND(D45&gt;E45,G45&gt;0,G45&gt;H45),1,0)</x:f>
        <x:v>1</x:v>
      </x:c>
      <x:c r="L45" s="44" t="str">
        <x:v>https://stockanalysis.com/stocks/mdb/financials/?p=quarterly</x:v>
      </x:c>
    </x:row>
    <x:row r="46" ht="58" customHeight="1">
      <x:c r="A46" s="42" t="str">
        <x:v>MDB</x:v>
      </x:c>
      <x:c r="B46" s="42" t="str">
        <x:v>Q1 2027</x:v>
      </x:c>
      <x:c r="C46" s="42" t="str">
        <x:v>USD</x:v>
      </x:c>
      <x:c r="D46" s="48" t="n">
        <x:v>687.62</x:v>
      </x:c>
      <x:c r="E46" s="48" t="n">
        <x:v>549.01</x:v>
      </x:c>
      <x:c r="F46" s="49" t="n">
        <x:f>D46/E46-1</x:f>
        <x:v>0.2524726325567841</x:v>
      </x:c>
      <x:c r="G46" s="48" t="n">
        <x:v>4.43</x:v>
      </x:c>
      <x:c r="H46" s="48" t="n">
        <x:v>-37.63</x:v>
      </x:c>
      <x:c r="I46" s="49" t="str">
        <x:f>IF(H46&gt;0,G46/H46-1,"n.a.")</x:f>
        <x:v>n.a.</x:v>
      </x:c>
      <x:c r="J46" s="50" t="n">
        <x:f>G46-H46</x:f>
        <x:v>42.06</x:v>
      </x:c>
      <x:c r="K46" s="42" t="n">
        <x:f>IF(AND(D46&gt;E46,G46&gt;0,G46&gt;H46),1,0)</x:f>
        <x:v>1</x:v>
      </x:c>
      <x:c r="L46" s="42" t="str">
        <x:v>https://stockanalysis.com/stocks/mdb/financials/?p=quarterly</x:v>
      </x:c>
    </x:row>
    <x:row r="47" ht="58" customHeight="1">
      <x:c r="A47" s="42" t="str">
        <x:v>MDB</x:v>
      </x:c>
      <x:c r="B47" s="42" t="str">
        <x:v>Q4 2026</x:v>
      </x:c>
      <x:c r="C47" s="42" t="str">
        <x:v>USD</x:v>
      </x:c>
      <x:c r="D47" s="48" t="n">
        <x:v>695.07</x:v>
      </x:c>
      <x:c r="E47" s="48" t="n">
        <x:v>548.4</x:v>
      </x:c>
      <x:c r="F47" s="49" t="n">
        <x:f>D47/E47-1</x:f>
        <x:v>0.2674507658643328</x:v>
      </x:c>
      <x:c r="G47" s="48" t="n">
        <x:v>15.53</x:v>
      </x:c>
      <x:c r="H47" s="48" t="n">
        <x:v>15.83</x:v>
      </x:c>
      <x:c r="I47" s="49" t="n">
        <x:f>IF(H47&gt;0,G47/H47-1,"n.a.")</x:f>
        <x:v>-0.01895135818066962</x:v>
      </x:c>
      <x:c r="J47" s="50" t="n">
        <x:f>G47-H47</x:f>
        <x:v>-0.3000000000000007</x:v>
      </x:c>
      <x:c r="K47" s="42" t="n">
        <x:f>IF(AND(D47&gt;E47,G47&gt;0,G47&gt;H47),1,0)</x:f>
        <x:v>0</x:v>
      </x:c>
      <x:c r="L47" s="42" t="str">
        <x:v>https://stockanalysis.com/stocks/mdb/financials/?p=quarterly</x:v>
      </x:c>
    </x:row>
    <x:row r="48" ht="58" customHeight="1">
      <x:c r="A48" s="42" t="str">
        <x:v>MDB</x:v>
      </x:c>
      <x:c r="B48" s="42" t="str">
        <x:v>Q3 2026</x:v>
      </x:c>
      <x:c r="C48" s="42" t="str">
        <x:v>USD</x:v>
      </x:c>
      <x:c r="D48" s="48" t="n">
        <x:v>628.31</x:v>
      </x:c>
      <x:c r="E48" s="48" t="n">
        <x:v>529.38</x:v>
      </x:c>
      <x:c r="F48" s="49" t="n">
        <x:f>D48/E48-1</x:f>
        <x:v>0.1868789905172088</x:v>
      </x:c>
      <x:c r="G48" s="48" t="n">
        <x:v>-2.01</x:v>
      </x:c>
      <x:c r="H48" s="48" t="n">
        <x:v>-9.78</x:v>
      </x:c>
      <x:c r="I48" s="49" t="str">
        <x:f>IF(H48&gt;0,G48/H48-1,"n.a.")</x:f>
        <x:v>n.a.</x:v>
      </x:c>
      <x:c r="J48" s="50" t="n">
        <x:f>G48-H48</x:f>
        <x:v>7.77</x:v>
      </x:c>
      <x:c r="K48" s="42" t="n">
        <x:f>IF(AND(D48&gt;E48,G48&gt;0,G48&gt;H48),1,0)</x:f>
        <x:v>0</x:v>
      </x:c>
      <x:c r="L48" s="42" t="str">
        <x:v>https://stockanalysis.com/stocks/mdb/financials/?p=quarterly</x:v>
      </x:c>
    </x:row>
    <x:row r="49" ht="58" customHeight="1">
      <x:c r="A49" s="44" t="str">
        <x:v>INTU</x:v>
      </x:c>
      <x:c r="B49" s="44" t="str">
        <x:v>Q4 2026</x:v>
      </x:c>
      <x:c r="C49" s="44" t="str">
        <x:v>USD</x:v>
      </x:c>
      <x:c r="D49" s="45" t="n">
        <x:v>4354</x:v>
      </x:c>
      <x:c r="E49" s="45" t="n">
        <x:v>3831</x:v>
      </x:c>
      <x:c r="F49" s="46" t="n">
        <x:f>D49/E49-1</x:f>
        <x:v>0.13651788044896884</x:v>
      </x:c>
      <x:c r="G49" s="45" t="n">
        <x:v>363</x:v>
      </x:c>
      <x:c r="H49" s="45" t="n">
        <x:v>381</x:v>
      </x:c>
      <x:c r="I49" s="46" t="n">
        <x:f>IF(H49&gt;0,G49/H49-1,"n.a.")</x:f>
        <x:v>-0.047244094488189003</x:v>
      </x:c>
      <x:c r="J49" s="47" t="n">
        <x:f>G49-H49</x:f>
        <x:v>-18</x:v>
      </x:c>
      <x:c r="K49" s="44" t="n">
        <x:f>IF(AND(D49&gt;E49,G49&gt;0,G49&gt;H49),1,0)</x:f>
        <x:v>0</x:v>
      </x:c>
      <x:c r="L49" s="44" t="str">
        <x:v>https://stockanalysis.com/stocks/intu/financials/?p=quarterly</x:v>
      </x:c>
    </x:row>
    <x:row r="50" ht="58" customHeight="1">
      <x:c r="A50" s="42" t="str">
        <x:v>INTU</x:v>
      </x:c>
      <x:c r="B50" s="42" t="str">
        <x:v>Q3 2026</x:v>
      </x:c>
      <x:c r="C50" s="42" t="str">
        <x:v>USD</x:v>
      </x:c>
      <x:c r="D50" s="48" t="n">
        <x:v>8558</x:v>
      </x:c>
      <x:c r="E50" s="48" t="n">
        <x:v>7754</x:v>
      </x:c>
      <x:c r="F50" s="49" t="n">
        <x:f>D50/E50-1</x:f>
        <x:v>0.10368841888057778</x:v>
      </x:c>
      <x:c r="G50" s="48" t="n">
        <x:v>3064</x:v>
      </x:c>
      <x:c r="H50" s="48" t="n">
        <x:v>2820</x:v>
      </x:c>
      <x:c r="I50" s="49" t="n">
        <x:f>IF(H50&gt;0,G50/H50-1,"n.a.")</x:f>
        <x:v>0.08652482269503547</x:v>
      </x:c>
      <x:c r="J50" s="50" t="n">
        <x:f>G50-H50</x:f>
        <x:v>244</x:v>
      </x:c>
      <x:c r="K50" s="42" t="n">
        <x:f>IF(AND(D50&gt;E50,G50&gt;0,G50&gt;H50),1,0)</x:f>
        <x:v>1</x:v>
      </x:c>
      <x:c r="L50" s="42" t="str">
        <x:v>https://stockanalysis.com/stocks/intu/financials/?p=quarterly</x:v>
      </x:c>
    </x:row>
    <x:row r="51" ht="58" customHeight="1">
      <x:c r="A51" s="42" t="str">
        <x:v>INTU</x:v>
      </x:c>
      <x:c r="B51" s="42" t="str">
        <x:v>Q2 2026</x:v>
      </x:c>
      <x:c r="C51" s="42" t="str">
        <x:v>USD</x:v>
      </x:c>
      <x:c r="D51" s="48" t="n">
        <x:v>4651</x:v>
      </x:c>
      <x:c r="E51" s="48" t="n">
        <x:v>3963</x:v>
      </x:c>
      <x:c r="F51" s="49" t="n">
        <x:f>D51/E51-1</x:f>
        <x:v>0.1736058541508958</x:v>
      </x:c>
      <x:c r="G51" s="48" t="n">
        <x:v>693</x:v>
      </x:c>
      <x:c r="H51" s="48" t="n">
        <x:v>471</x:v>
      </x:c>
      <x:c r="I51" s="49" t="n">
        <x:f>IF(H51&gt;0,G51/H51-1,"n.a.")</x:f>
        <x:v>0.4713375796178343</x:v>
      </x:c>
      <x:c r="J51" s="50" t="n">
        <x:f>G51-H51</x:f>
        <x:v>222</x:v>
      </x:c>
      <x:c r="K51" s="42" t="n">
        <x:f>IF(AND(D51&gt;E51,G51&gt;0,G51&gt;H51),1,0)</x:f>
        <x:v>1</x:v>
      </x:c>
      <x:c r="L51" s="42" t="str">
        <x:v>https://stockanalysis.com/stocks/intu/financials/?p=quarterly</x:v>
      </x:c>
    </x:row>
    <x:row r="52" ht="58" customHeight="1">
      <x:c r="A52" s="42" t="str">
        <x:v>INTU</x:v>
      </x:c>
      <x:c r="B52" s="42" t="str">
        <x:v>Q1 2026</x:v>
      </x:c>
      <x:c r="C52" s="42" t="str">
        <x:v>USD</x:v>
      </x:c>
      <x:c r="D52" s="48" t="n">
        <x:v>3885</x:v>
      </x:c>
      <x:c r="E52" s="48" t="n">
        <x:v>3283</x:v>
      </x:c>
      <x:c r="F52" s="49" t="n">
        <x:f>D52/E52-1</x:f>
        <x:v>0.18336886993603407</x:v>
      </x:c>
      <x:c r="G52" s="48" t="n">
        <x:v>446</x:v>
      </x:c>
      <x:c r="H52" s="48" t="n">
        <x:v>197</x:v>
      </x:c>
      <x:c r="I52" s="49" t="n">
        <x:f>IF(H52&gt;0,G52/H52-1,"n.a.")</x:f>
        <x:v>1.263959390862944</x:v>
      </x:c>
      <x:c r="J52" s="50" t="n">
        <x:f>G52-H52</x:f>
        <x:v>249</x:v>
      </x:c>
      <x:c r="K52" s="42" t="n">
        <x:f>IF(AND(D52&gt;E52,G52&gt;0,G52&gt;H52),1,0)</x:f>
        <x:v>1</x:v>
      </x:c>
      <x:c r="L52" s="42" t="str">
        <x:v>https://stockanalysis.com/stocks/intu/financials/?p=quarterly</x:v>
      </x:c>
    </x:row>
    <x:row r="53" ht="58" customHeight="1">
      <x:c r="A53" s="44" t="str">
        <x:v>SOFI</x:v>
      </x:c>
      <x:c r="B53" s="44" t="str">
        <x:v>Q2 2026</x:v>
      </x:c>
      <x:c r="C53" s="44" t="str">
        <x:v>USD</x:v>
      </x:c>
      <x:c r="D53" s="45" t="n">
        <x:v>1205</x:v>
      </x:c>
      <x:c r="E53" s="45" t="n">
        <x:v>844.91</x:v>
      </x:c>
      <x:c r="F53" s="46" t="n">
        <x:f>D53/E53-1</x:f>
        <x:v>0.4261874045756353</x:v>
      </x:c>
      <x:c r="G53" s="45" t="n">
        <x:v>156.59</x:v>
      </x:c>
      <x:c r="H53" s="45" t="n">
        <x:v>97.26</x:v>
      </x:c>
      <x:c r="I53" s="46" t="n">
        <x:f>IF(H53&gt;0,G53/H53-1,"n.a.")</x:f>
        <x:v>0.6100143944067447</x:v>
      </x:c>
      <x:c r="J53" s="47" t="n">
        <x:f>G53-H53</x:f>
        <x:v>59.33</x:v>
      </x:c>
      <x:c r="K53" s="44" t="n">
        <x:f>IF(AND(D53&gt;E53,G53&gt;0,G53&gt;H53),1,0)</x:f>
        <x:v>1</x:v>
      </x:c>
      <x:c r="L53" s="44" t="str">
        <x:v>https://stockanalysis.com/stocks/sofi/financials/?p=quarterly</x:v>
      </x:c>
    </x:row>
    <x:row r="54" ht="58" customHeight="1">
      <x:c r="A54" s="42" t="str">
        <x:v>SOFI</x:v>
      </x:c>
      <x:c r="B54" s="42" t="str">
        <x:v>Q1 2026</x:v>
      </x:c>
      <x:c r="C54" s="42" t="str">
        <x:v>USD</x:v>
      </x:c>
      <x:c r="D54" s="48" t="n">
        <x:v>1091</x:v>
      </x:c>
      <x:c r="E54" s="48" t="n">
        <x:v>766.08</x:v>
      </x:c>
      <x:c r="F54" s="49" t="n">
        <x:f>D54/E54-1</x:f>
        <x:v>0.42413324979114453</x:v>
      </x:c>
      <x:c r="G54" s="48" t="n">
        <x:v>166.73</x:v>
      </x:c>
      <x:c r="H54" s="48" t="n">
        <x:v>71.12</x:v>
      </x:c>
      <x:c r="I54" s="49" t="n">
        <x:f>IF(H54&gt;0,G54/H54-1,"n.a.")</x:f>
        <x:v>1.3443475815523058</x:v>
      </x:c>
      <x:c r="J54" s="50" t="n">
        <x:f>G54-H54</x:f>
        <x:v>95.60999999999999</x:v>
      </x:c>
      <x:c r="K54" s="42" t="n">
        <x:f>IF(AND(D54&gt;E54,G54&gt;0,G54&gt;H54),1,0)</x:f>
        <x:v>1</x:v>
      </x:c>
      <x:c r="L54" s="42" t="str">
        <x:v>https://stockanalysis.com/stocks/sofi/financials/?p=quarterly</x:v>
      </x:c>
    </x:row>
    <x:row r="55" ht="58" customHeight="1">
      <x:c r="A55" s="42" t="str">
        <x:v>SOFI</x:v>
      </x:c>
      <x:c r="B55" s="42" t="str">
        <x:v>Q4 2025</x:v>
      </x:c>
      <x:c r="C55" s="42" t="str">
        <x:v>USD</x:v>
      </x:c>
      <x:c r="D55" s="48" t="n">
        <x:v>1020</x:v>
      </x:c>
      <x:c r="E55" s="48" t="n">
        <x:v>727.25</x:v>
      </x:c>
      <x:c r="F55" s="49" t="n">
        <x:f>D55/E55-1</x:f>
        <x:v>0.4025438294946717</x:v>
      </x:c>
      <x:c r="G55" s="48" t="n">
        <x:v>173.55</x:v>
      </x:c>
      <x:c r="H55" s="48" t="n">
        <x:v>332.47</x:v>
      </x:c>
      <x:c r="I55" s="49" t="n">
        <x:f>IF(H55&gt;0,G55/H55-1,"n.a.")</x:f>
        <x:v>-0.4779980148584835</x:v>
      </x:c>
      <x:c r="J55" s="50" t="n">
        <x:f>G55-H55</x:f>
        <x:v>-158.92000000000002</x:v>
      </x:c>
      <x:c r="K55" s="42" t="n">
        <x:f>IF(AND(D55&gt;E55,G55&gt;0,G55&gt;H55),1,0)</x:f>
        <x:v>0</x:v>
      </x:c>
      <x:c r="L55" s="42" t="str">
        <x:v>https://stockanalysis.com/stocks/sofi/financials/?p=quarterly</x:v>
      </x:c>
    </x:row>
    <x:row r="56" ht="58" customHeight="1">
      <x:c r="A56" s="42" t="str">
        <x:v>SOFI</x:v>
      </x:c>
      <x:c r="B56" s="42" t="str">
        <x:v>Q3 2025</x:v>
      </x:c>
      <x:c r="C56" s="42" t="str">
        <x:v>USD</x:v>
      </x:c>
      <x:c r="D56" s="48" t="n">
        <x:v>952.4</x:v>
      </x:c>
      <x:c r="E56" s="48" t="n">
        <x:v>691.11</x:v>
      </x:c>
      <x:c r="F56" s="49" t="n">
        <x:f>D56/E56-1</x:f>
        <x:v>0.37807295510121386</x:v>
      </x:c>
      <x:c r="G56" s="48" t="n">
        <x:v>139.39</x:v>
      </x:c>
      <x:c r="H56" s="48" t="n">
        <x:v>60.75</x:v>
      </x:c>
      <x:c r="I56" s="49" t="n">
        <x:f>IF(H56&gt;0,G56/H56-1,"n.a.")</x:f>
        <x:v>1.2944855967078186</x:v>
      </x:c>
      <x:c r="J56" s="50" t="n">
        <x:f>G56-H56</x:f>
        <x:v>78.63999999999999</x:v>
      </x:c>
      <x:c r="K56" s="42" t="n">
        <x:f>IF(AND(D56&gt;E56,G56&gt;0,G56&gt;H56),1,0)</x:f>
        <x:v>1</x:v>
      </x:c>
      <x:c r="L56" s="42" t="str">
        <x:v>https://stockanalysis.com/stocks/sofi/financials/?p=quarterly</x:v>
      </x:c>
    </x:row>
    <x:row r="57" ht="58" customHeight="1">
      <x:c r="A57" s="44" t="str">
        <x:v>SE</x:v>
      </x:c>
      <x:c r="B57" s="44" t="str">
        <x:v>Q2 2026</x:v>
      </x:c>
      <x:c r="C57" s="44" t="str">
        <x:v>USD</x:v>
      </x:c>
      <x:c r="D57" s="45" t="n">
        <x:v>7788</x:v>
      </x:c>
      <x:c r="E57" s="45" t="n">
        <x:v>5259</x:v>
      </x:c>
      <x:c r="F57" s="46" t="n">
        <x:f>D57/E57-1</x:f>
        <x:v>0.4808899030233884</x:v>
      </x:c>
      <x:c r="G57" s="45" t="n">
        <x:v>458.12</x:v>
      </x:c>
      <x:c r="H57" s="45" t="n">
        <x:v>414.2</x:v>
      </x:c>
      <x:c r="I57" s="46" t="n">
        <x:f>IF(H57&gt;0,G57/H57-1,"n.a.")</x:f>
        <x:v>0.10603573153066148</x:v>
      </x:c>
      <x:c r="J57" s="47" t="n">
        <x:f>G57-H57</x:f>
        <x:v>43.920000000000016</x:v>
      </x:c>
      <x:c r="K57" s="44" t="n">
        <x:f>IF(AND(D57&gt;E57,G57&gt;0,G57&gt;H57),1,0)</x:f>
        <x:v>1</x:v>
      </x:c>
      <x:c r="L57" s="44" t="str">
        <x:v>https://stockanalysis.com/stocks/se/financials/?p=quarterly</x:v>
      </x:c>
    </x:row>
    <x:row r="58" ht="58" customHeight="1">
      <x:c r="A58" s="42" t="str">
        <x:v>SE</x:v>
      </x:c>
      <x:c r="B58" s="42" t="str">
        <x:v>Q1 2026</x:v>
      </x:c>
      <x:c r="C58" s="42" t="str">
        <x:v>USD</x:v>
      </x:c>
      <x:c r="D58" s="48" t="n">
        <x:v>7097</x:v>
      </x:c>
      <x:c r="E58" s="48" t="n">
        <x:v>4841</x:v>
      </x:c>
      <x:c r="F58" s="49" t="n">
        <x:f>D58/E58-1</x:f>
        <x:v>0.46601941747572817</x:v>
      </x:c>
      <x:c r="G58" s="48" t="n">
        <x:v>427.94</x:v>
      </x:c>
      <x:c r="H58" s="48" t="n">
        <x:v>403.05</x:v>
      </x:c>
      <x:c r="I58" s="49" t="n">
        <x:f>IF(H58&gt;0,G58/H58-1,"n.a.")</x:f>
        <x:v>0.061754124798412136</x:v>
      </x:c>
      <x:c r="J58" s="50" t="n">
        <x:f>G58-H58</x:f>
        <x:v>24.889999999999986</x:v>
      </x:c>
      <x:c r="K58" s="42" t="n">
        <x:f>IF(AND(D58&gt;E58,G58&gt;0,G58&gt;H58),1,0)</x:f>
        <x:v>1</x:v>
      </x:c>
      <x:c r="L58" s="42" t="str">
        <x:v>https://stockanalysis.com/stocks/se/financials/?p=quarterly</x:v>
      </x:c>
    </x:row>
    <x:row r="59" ht="58" customHeight="1">
      <x:c r="A59" s="42" t="str">
        <x:v>SE</x:v>
      </x:c>
      <x:c r="B59" s="42" t="str">
        <x:v>Q4 2025</x:v>
      </x:c>
      <x:c r="C59" s="42" t="str">
        <x:v>USD</x:v>
      </x:c>
      <x:c r="D59" s="48" t="n">
        <x:v>6852</x:v>
      </x:c>
      <x:c r="E59" s="48" t="n">
        <x:v>4950</x:v>
      </x:c>
      <x:c r="F59" s="49" t="n">
        <x:f>D59/E59-1</x:f>
        <x:v>0.3842424242424243</x:v>
      </x:c>
      <x:c r="G59" s="48" t="n">
        <x:v>397.1</x:v>
      </x:c>
      <x:c r="H59" s="48" t="n">
        <x:v>237.31</x:v>
      </x:c>
      <x:c r="I59" s="49" t="n">
        <x:f>IF(H59&gt;0,G59/H59-1,"n.a.")</x:f>
        <x:v>0.6733386709367495</x:v>
      </x:c>
      <x:c r="J59" s="50" t="n">
        <x:f>G59-H59</x:f>
        <x:v>159.79000000000002</x:v>
      </x:c>
      <x:c r="K59" s="42" t="n">
        <x:f>IF(AND(D59&gt;E59,G59&gt;0,G59&gt;H59),1,0)</x:f>
        <x:v>1</x:v>
      </x:c>
      <x:c r="L59" s="42" t="str">
        <x:v>https://stockanalysis.com/stocks/se/financials/?p=quarterly</x:v>
      </x:c>
    </x:row>
    <x:row r="60" ht="58" customHeight="1">
      <x:c r="A60" s="42" t="str">
        <x:v>SE</x:v>
      </x:c>
      <x:c r="B60" s="42" t="str">
        <x:v>Q3 2025</x:v>
      </x:c>
      <x:c r="C60" s="42" t="str">
        <x:v>USD</x:v>
      </x:c>
      <x:c r="D60" s="48" t="n">
        <x:v>5986</x:v>
      </x:c>
      <x:c r="E60" s="48" t="n">
        <x:v>4328</x:v>
      </x:c>
      <x:c r="F60" s="49" t="n">
        <x:f>D60/E60-1</x:f>
        <x:v>0.38308687615526793</x:v>
      </x:c>
      <x:c r="G60" s="48" t="n">
        <x:v>374.99</x:v>
      </x:c>
      <x:c r="H60" s="48" t="n">
        <x:v>153.32</x:v>
      </x:c>
      <x:c r="I60" s="49" t="n">
        <x:f>IF(H60&gt;0,G60/H60-1,"n.a.")</x:f>
        <x:v>1.445799634750848</x:v>
      </x:c>
      <x:c r="J60" s="50" t="n">
        <x:f>G60-H60</x:f>
        <x:v>221.67000000000002</x:v>
      </x:c>
      <x:c r="K60" s="42" t="n">
        <x:f>IF(AND(D60&gt;E60,G60&gt;0,G60&gt;H60),1,0)</x:f>
        <x:v>1</x:v>
      </x:c>
      <x:c r="L60" s="42" t="str">
        <x:v>https://stockanalysis.com/stocks/se/financials/?p=quarterly</x:v>
      </x:c>
    </x:row>
    <x:row r="61" ht="58" customHeight="1">
      <x:c r="A61" s="44" t="str">
        <x:v>CRM</x:v>
      </x:c>
      <x:c r="B61" s="44" t="str">
        <x:v>Q2 2027</x:v>
      </x:c>
      <x:c r="C61" s="44" t="str">
        <x:v>USD</x:v>
      </x:c>
      <x:c r="D61" s="45" t="n">
        <x:v>11345</x:v>
      </x:c>
      <x:c r="E61" s="45" t="n">
        <x:v>10236</x:v>
      </x:c>
      <x:c r="F61" s="46" t="n">
        <x:f>D61/E61-1</x:f>
        <x:v>0.1083431027745212</x:v>
      </x:c>
      <x:c r="G61" s="45" t="n">
        <x:v>3526</x:v>
      </x:c>
      <x:c r="H61" s="45" t="n">
        <x:v>1887</x:v>
      </x:c>
      <x:c r="I61" s="46" t="n">
        <x:f>IF(H61&gt;0,G61/H61-1,"n.a.")</x:f>
        <x:v>0.8685744568097509</x:v>
      </x:c>
      <x:c r="J61" s="47" t="n">
        <x:f>G61-H61</x:f>
        <x:v>1639</x:v>
      </x:c>
      <x:c r="K61" s="44" t="n">
        <x:f>IF(AND(D61&gt;E61,G61&gt;0,G61&gt;H61),1,0)</x:f>
        <x:v>1</x:v>
      </x:c>
      <x:c r="L61" s="44" t="str">
        <x:v>https://stockanalysis.com/stocks/crm/financials/?p=quarterly</x:v>
      </x:c>
    </x:row>
    <x:row r="62" ht="58" customHeight="1">
      <x:c r="A62" s="42" t="str">
        <x:v>CRM</x:v>
      </x:c>
      <x:c r="B62" s="42" t="str">
        <x:v>Q1 2027</x:v>
      </x:c>
      <x:c r="C62" s="42" t="str">
        <x:v>USD</x:v>
      </x:c>
      <x:c r="D62" s="48" t="n">
        <x:v>11133</x:v>
      </x:c>
      <x:c r="E62" s="48" t="n">
        <x:v>9829</x:v>
      </x:c>
      <x:c r="F62" s="49" t="n">
        <x:f>D62/E62-1</x:f>
        <x:v>0.13266863363516124</x:v>
      </x:c>
      <x:c r="G62" s="48" t="n">
        <x:v>2107</x:v>
      </x:c>
      <x:c r="H62" s="48" t="n">
        <x:v>1541</x:v>
      </x:c>
      <x:c r="I62" s="49" t="n">
        <x:f>IF(H62&gt;0,G62/H62-1,"n.a.")</x:f>
        <x:v>0.3672939649578195</x:v>
      </x:c>
      <x:c r="J62" s="50" t="n">
        <x:f>G62-H62</x:f>
        <x:v>566</x:v>
      </x:c>
      <x:c r="K62" s="42" t="n">
        <x:f>IF(AND(D62&gt;E62,G62&gt;0,G62&gt;H62),1,0)</x:f>
        <x:v>1</x:v>
      </x:c>
      <x:c r="L62" s="42" t="str">
        <x:v>https://stockanalysis.com/stocks/crm/financials/?p=quarterly</x:v>
      </x:c>
    </x:row>
    <x:row r="63" ht="58" customHeight="1">
      <x:c r="A63" s="42" t="str">
        <x:v>CRM</x:v>
      </x:c>
      <x:c r="B63" s="42" t="str">
        <x:v>Q4 2026</x:v>
      </x:c>
      <x:c r="C63" s="42" t="str">
        <x:v>USD</x:v>
      </x:c>
      <x:c r="D63" s="48" t="n">
        <x:v>11201</x:v>
      </x:c>
      <x:c r="E63" s="48" t="n">
        <x:v>9993</x:v>
      </x:c>
      <x:c r="F63" s="49" t="n">
        <x:f>D63/E63-1</x:f>
        <x:v>0.12088461923346339</x:v>
      </x:c>
      <x:c r="G63" s="48" t="n">
        <x:v>1943</x:v>
      </x:c>
      <x:c r="H63" s="48" t="n">
        <x:v>1708</x:v>
      </x:c>
      <x:c r="I63" s="49" t="n">
        <x:f>IF(H63&gt;0,G63/H63-1,"n.a.")</x:f>
        <x:v>0.13758782201405162</x:v>
      </x:c>
      <x:c r="J63" s="50" t="n">
        <x:f>G63-H63</x:f>
        <x:v>235</x:v>
      </x:c>
      <x:c r="K63" s="42" t="n">
        <x:f>IF(AND(D63&gt;E63,G63&gt;0,G63&gt;H63),1,0)</x:f>
        <x:v>1</x:v>
      </x:c>
      <x:c r="L63" s="42" t="str">
        <x:v>https://stockanalysis.com/stocks/crm/financials/?p=quarterly</x:v>
      </x:c>
    </x:row>
    <x:row r="64" ht="58" customHeight="1">
      <x:c r="A64" s="42" t="str">
        <x:v>CRM</x:v>
      </x:c>
      <x:c r="B64" s="42" t="str">
        <x:v>Q3 2026</x:v>
      </x:c>
      <x:c r="C64" s="42" t="str">
        <x:v>USD</x:v>
      </x:c>
      <x:c r="D64" s="48" t="n">
        <x:v>10259</x:v>
      </x:c>
      <x:c r="E64" s="48" t="n">
        <x:v>9444</x:v>
      </x:c>
      <x:c r="F64" s="49" t="n">
        <x:f>D64/E64-1</x:f>
        <x:v>0.08629817873782297</x:v>
      </x:c>
      <x:c r="G64" s="48" t="n">
        <x:v>2086</x:v>
      </x:c>
      <x:c r="H64" s="48" t="n">
        <x:v>1527</x:v>
      </x:c>
      <x:c r="I64" s="49" t="n">
        <x:f>IF(H64&gt;0,G64/H64-1,"n.a.")</x:f>
        <x:v>0.36607727570399473</x:v>
      </x:c>
      <x:c r="J64" s="50" t="n">
        <x:f>G64-H64</x:f>
        <x:v>559</x:v>
      </x:c>
      <x:c r="K64" s="42" t="n">
        <x:f>IF(AND(D64&gt;E64,G64&gt;0,G64&gt;H64),1,0)</x:f>
        <x:v>1</x:v>
      </x:c>
      <x:c r="L64" s="42" t="str">
        <x:v>https://stockanalysis.com/stocks/crm/financials/?p=quarterly</x:v>
      </x:c>
    </x:row>
    <x:row r="65" ht="58" customHeight="1">
      <x:c r="A65" s="44" t="str">
        <x:v>ROP</x:v>
      </x:c>
      <x:c r="B65" s="44" t="str">
        <x:v>Q2 2026</x:v>
      </x:c>
      <x:c r="C65" s="44" t="str">
        <x:v>USD</x:v>
      </x:c>
      <x:c r="D65" s="45" t="n">
        <x:v>2109</x:v>
      </x:c>
      <x:c r="E65" s="45" t="n">
        <x:v>1944</x:v>
      </x:c>
      <x:c r="F65" s="46" t="n">
        <x:f>D65/E65-1</x:f>
        <x:v>0.08487654320987659</x:v>
      </x:c>
      <x:c r="G65" s="45" t="n">
        <x:v>1169</x:v>
      </x:c>
      <x:c r="H65" s="45" t="n">
        <x:v>378.3</x:v>
      </x:c>
      <x:c r="I65" s="46" t="n">
        <x:f>IF(H65&gt;0,G65/H65-1,"n.a.")</x:f>
        <x:v>2.090140100449379</x:v>
      </x:c>
      <x:c r="J65" s="47" t="n">
        <x:f>G65-H65</x:f>
        <x:v>790.7</x:v>
      </x:c>
      <x:c r="K65" s="44" t="n">
        <x:f>IF(AND(D65&gt;E65,G65&gt;0,G65&gt;H65),1,0)</x:f>
        <x:v>1</x:v>
      </x:c>
      <x:c r="L65" s="44" t="str">
        <x:v>https://stockanalysis.com/stocks/rop/financials/?p=quarterly</x:v>
      </x:c>
    </x:row>
    <x:row r="66" ht="58" customHeight="1">
      <x:c r="A66" s="42" t="str">
        <x:v>ROP</x:v>
      </x:c>
      <x:c r="B66" s="42" t="str">
        <x:v>Q1 2026</x:v>
      </x:c>
      <x:c r="C66" s="42" t="str">
        <x:v>USD</x:v>
      </x:c>
      <x:c r="D66" s="48" t="n">
        <x:v>2095</x:v>
      </x:c>
      <x:c r="E66" s="48" t="n">
        <x:v>1883</x:v>
      </x:c>
      <x:c r="F66" s="49" t="n">
        <x:f>D66/E66-1</x:f>
        <x:v>0.11258629845990442</x:v>
      </x:c>
      <x:c r="G66" s="48" t="n">
        <x:v>508.9</x:v>
      </x:c>
      <x:c r="H66" s="48" t="n">
        <x:v>331.1</x:v>
      </x:c>
      <x:c r="I66" s="49" t="n">
        <x:f>IF(H66&gt;0,G66/H66-1,"n.a.")</x:f>
        <x:v>0.536997885835095</x:v>
      </x:c>
      <x:c r="J66" s="50" t="n">
        <x:f>G66-H66</x:f>
        <x:v>177.79999999999995</x:v>
      </x:c>
      <x:c r="K66" s="42" t="n">
        <x:f>IF(AND(D66&gt;E66,G66&gt;0,G66&gt;H66),1,0)</x:f>
        <x:v>1</x:v>
      </x:c>
      <x:c r="L66" s="42" t="str">
        <x:v>https://stockanalysis.com/stocks/rop/financials/?p=quarterly</x:v>
      </x:c>
    </x:row>
    <x:row r="67" ht="58" customHeight="1">
      <x:c r="A67" s="42" t="str">
        <x:v>ROP</x:v>
      </x:c>
      <x:c r="B67" s="42" t="str">
        <x:v>Q4 2025</x:v>
      </x:c>
      <x:c r="C67" s="42" t="str">
        <x:v>USD</x:v>
      </x:c>
      <x:c r="D67" s="48" t="n">
        <x:v>2059</x:v>
      </x:c>
      <x:c r="E67" s="48" t="n">
        <x:v>1877</x:v>
      </x:c>
      <x:c r="F67" s="49" t="n">
        <x:f>D67/E67-1</x:f>
        <x:v>0.09696323921150762</x:v>
      </x:c>
      <x:c r="G67" s="48" t="n">
        <x:v>428.4</x:v>
      </x:c>
      <x:c r="H67" s="48" t="n">
        <x:v>462.3</x:v>
      </x:c>
      <x:c r="I67" s="49" t="n">
        <x:f>IF(H67&gt;0,G67/H67-1,"n.a.")</x:f>
        <x:v>-0.07332900713822199</x:v>
      </x:c>
      <x:c r="J67" s="50" t="n">
        <x:f>G67-H67</x:f>
        <x:v>-33.900000000000034</x:v>
      </x:c>
      <x:c r="K67" s="42" t="n">
        <x:f>IF(AND(D67&gt;E67,G67&gt;0,G67&gt;H67),1,0)</x:f>
        <x:v>0</x:v>
      </x:c>
      <x:c r="L67" s="42" t="str">
        <x:v>https://stockanalysis.com/stocks/rop/financials/?p=quarterly</x:v>
      </x:c>
    </x:row>
    <x:row r="68" ht="58" customHeight="1">
      <x:c r="A68" s="42" t="str">
        <x:v>ROP</x:v>
      </x:c>
      <x:c r="B68" s="42" t="str">
        <x:v>Q3 2025</x:v>
      </x:c>
      <x:c r="C68" s="42" t="str">
        <x:v>USD</x:v>
      </x:c>
      <x:c r="D68" s="48" t="n">
        <x:v>2018</x:v>
      </x:c>
      <x:c r="E68" s="48" t="n">
        <x:v>1765</x:v>
      </x:c>
      <x:c r="F68" s="49" t="n">
        <x:f>D68/E68-1</x:f>
        <x:v>0.14334277620396607</x:v>
      </x:c>
      <x:c r="G68" s="48" t="n">
        <x:v>398.5</x:v>
      </x:c>
      <x:c r="H68" s="48" t="n">
        <x:v>367.9</x:v>
      </x:c>
      <x:c r="I68" s="49" t="n">
        <x:f>IF(H68&gt;0,G68/H68-1,"n.a.")</x:f>
        <x:v>0.08317477575428112</x:v>
      </x:c>
      <x:c r="J68" s="50" t="n">
        <x:f>G68-H68</x:f>
        <x:v>30.600000000000023</x:v>
      </x:c>
      <x:c r="K68" s="42" t="n">
        <x:f>IF(AND(D68&gt;E68,G68&gt;0,G68&gt;H68),1,0)</x:f>
        <x:v>1</x:v>
      </x:c>
      <x:c r="L68" s="42" t="str">
        <x:v>https://stockanalysis.com/stocks/rop/financials/?p=quarterly</x:v>
      </x:c>
    </x:row>
    <x:row r="69" ht="58" customHeight="1">
      <x:c r="A69" s="44" t="str">
        <x:v>UPST</x:v>
      </x:c>
      <x:c r="B69" s="44" t="str">
        <x:v>Q2 2026</x:v>
      </x:c>
      <x:c r="C69" s="44" t="str">
        <x:v>USD</x:v>
      </x:c>
      <x:c r="D69" s="45" t="n">
        <x:v>377.24</x:v>
      </x:c>
      <x:c r="E69" s="45" t="n">
        <x:v>265.06</x:v>
      </x:c>
      <x:c r="F69" s="46" t="n">
        <x:f>D69/E69-1</x:f>
        <x:v>0.42322493020448193</x:v>
      </x:c>
      <x:c r="G69" s="45" t="n">
        <x:v>16.54</x:v>
      </x:c>
      <x:c r="H69" s="45" t="n">
        <x:v>5.61</x:v>
      </x:c>
      <x:c r="I69" s="46" t="n">
        <x:f>IF(H69&gt;0,G69/H69-1,"n.a.")</x:f>
        <x:v>1.9483065953654184</x:v>
      </x:c>
      <x:c r="J69" s="47" t="n">
        <x:f>G69-H69</x:f>
        <x:v>10.93</x:v>
      </x:c>
      <x:c r="K69" s="44" t="n">
        <x:f>IF(AND(D69&gt;E69,G69&gt;0,G69&gt;H69),1,0)</x:f>
        <x:v>1</x:v>
      </x:c>
      <x:c r="L69" s="44" t="str">
        <x:v>https://stockanalysis.com/stocks/upst/financials/?p=quarterly</x:v>
      </x:c>
    </x:row>
    <x:row r="70" ht="58" customHeight="1">
      <x:c r="A70" s="42" t="str">
        <x:v>UPST</x:v>
      </x:c>
      <x:c r="B70" s="42" t="str">
        <x:v>Q1 2026</x:v>
      </x:c>
      <x:c r="C70" s="42" t="str">
        <x:v>USD</x:v>
      </x:c>
      <x:c r="D70" s="48" t="n">
        <x:v>318.58</x:v>
      </x:c>
      <x:c r="E70" s="48" t="n">
        <x:v>220.39</x:v>
      </x:c>
      <x:c r="F70" s="49" t="n">
        <x:f>D70/E70-1</x:f>
        <x:v>0.4455283815055129</x:v>
      </x:c>
      <x:c r="G70" s="48" t="n">
        <x:v>-6.65</x:v>
      </x:c>
      <x:c r="H70" s="48" t="n">
        <x:v>-2.45</x:v>
      </x:c>
      <x:c r="I70" s="49" t="str">
        <x:f>IF(H70&gt;0,G70/H70-1,"n.a.")</x:f>
        <x:v>n.a.</x:v>
      </x:c>
      <x:c r="J70" s="50" t="n">
        <x:f>G70-H70</x:f>
        <x:v>-4.2</x:v>
      </x:c>
      <x:c r="K70" s="42" t="n">
        <x:f>IF(AND(D70&gt;E70,G70&gt;0,G70&gt;H70),1,0)</x:f>
        <x:v>0</x:v>
      </x:c>
      <x:c r="L70" s="42" t="str">
        <x:v>https://stockanalysis.com/stocks/upst/financials/?p=quarterly</x:v>
      </x:c>
    </x:row>
    <x:row r="71" ht="58" customHeight="1">
      <x:c r="A71" s="42" t="str">
        <x:v>UPST</x:v>
      </x:c>
      <x:c r="B71" s="42" t="str">
        <x:v>Q4 2025</x:v>
      </x:c>
      <x:c r="C71" s="42" t="str">
        <x:v>USD</x:v>
      </x:c>
      <x:c r="D71" s="48" t="n">
        <x:v>304.17</x:v>
      </x:c>
      <x:c r="E71" s="48" t="n">
        <x:v>226.4</x:v>
      </x:c>
      <x:c r="F71" s="49" t="n">
        <x:f>D71/E71-1</x:f>
        <x:v>0.3435070671378093</x:v>
      </x:c>
      <x:c r="G71" s="48" t="n">
        <x:v>18.64</x:v>
      </x:c>
      <x:c r="H71" s="48" t="n">
        <x:v>-2.76</x:v>
      </x:c>
      <x:c r="I71" s="49" t="str">
        <x:f>IF(H71&gt;0,G71/H71-1,"n.a.")</x:f>
        <x:v>n.a.</x:v>
      </x:c>
      <x:c r="J71" s="50" t="n">
        <x:f>G71-H71</x:f>
        <x:v>21.4</x:v>
      </x:c>
      <x:c r="K71" s="42" t="n">
        <x:f>IF(AND(D71&gt;E71,G71&gt;0,G71&gt;H71),1,0)</x:f>
        <x:v>1</x:v>
      </x:c>
      <x:c r="L71" s="42" t="str">
        <x:v>https://stockanalysis.com/stocks/upst/financials/?p=quarterly</x:v>
      </x:c>
    </x:row>
    <x:row r="72" ht="58" customHeight="1">
      <x:c r="A72" s="42" t="str">
        <x:v>UPST</x:v>
      </x:c>
      <x:c r="B72" s="42" t="str">
        <x:v>Q3 2025</x:v>
      </x:c>
      <x:c r="C72" s="42" t="str">
        <x:v>USD</x:v>
      </x:c>
      <x:c r="D72" s="48" t="n">
        <x:v>285.9</x:v>
      </x:c>
      <x:c r="E72" s="48" t="n">
        <x:v>172.96</x:v>
      </x:c>
      <x:c r="F72" s="49" t="n">
        <x:f>D72/E72-1</x:f>
        <x:v>0.652983348751156</x:v>
      </x:c>
      <x:c r="G72" s="48" t="n">
        <x:v>31.81</x:v>
      </x:c>
      <x:c r="H72" s="48" t="n">
        <x:v>-6.76</x:v>
      </x:c>
      <x:c r="I72" s="49" t="str">
        <x:f>IF(H72&gt;0,G72/H72-1,"n.a.")</x:f>
        <x:v>n.a.</x:v>
      </x:c>
      <x:c r="J72" s="50" t="n">
        <x:f>G72-H72</x:f>
        <x:v>38.57</x:v>
      </x:c>
      <x:c r="K72" s="42" t="n">
        <x:f>IF(AND(D72&gt;E72,G72&gt;0,G72&gt;H72),1,0)</x:f>
        <x:v>1</x:v>
      </x:c>
      <x:c r="L72" s="42" t="str">
        <x:v>https://stockanalysis.com/stocks/upst/financials/?p=quarterly</x:v>
      </x:c>
    </x:row>
    <x:row r="73" ht="58" customHeight="1">
      <x:c r="A73" s="44" t="str">
        <x:v>SMCI</x:v>
      </x:c>
      <x:c r="B73" s="44" t="str">
        <x:v>Q4 2026</x:v>
      </x:c>
      <x:c r="C73" s="44" t="str">
        <x:v>USD</x:v>
      </x:c>
      <x:c r="D73" s="45" t="n">
        <x:v>11120</x:v>
      </x:c>
      <x:c r="E73" s="45" t="n">
        <x:v>5757</x:v>
      </x:c>
      <x:c r="F73" s="46" t="n">
        <x:f>D73/E73-1</x:f>
        <x:v>0.9315615772103527</x:v>
      </x:c>
      <x:c r="G73" s="45" t="n">
        <x:v>1144</x:v>
      </x:c>
      <x:c r="H73" s="45" t="n">
        <x:v>195.15</x:v>
      </x:c>
      <x:c r="I73" s="46" t="n">
        <x:f>IF(H73&gt;0,G73/H73-1,"n.a.")</x:f>
        <x:v>4.862157314885985</x:v>
      </x:c>
      <x:c r="J73" s="47" t="n">
        <x:f>G73-H73</x:f>
        <x:v>948.85</x:v>
      </x:c>
      <x:c r="K73" s="44" t="n">
        <x:f>IF(AND(D73&gt;E73,G73&gt;0,G73&gt;H73),1,0)</x:f>
        <x:v>1</x:v>
      </x:c>
      <x:c r="L73" s="44" t="str">
        <x:v>https://stockanalysis.com/stocks/smci/financials/?p=quarterly</x:v>
      </x:c>
    </x:row>
    <x:row r="74" ht="58" customHeight="1">
      <x:c r="A74" s="42" t="str">
        <x:v>SMCI</x:v>
      </x:c>
      <x:c r="B74" s="42" t="str">
        <x:v>Q3 2026</x:v>
      </x:c>
      <x:c r="C74" s="42" t="str">
        <x:v>USD</x:v>
      </x:c>
      <x:c r="D74" s="48" t="n">
        <x:v>10243</x:v>
      </x:c>
      <x:c r="E74" s="48" t="n">
        <x:v>4600</x:v>
      </x:c>
      <x:c r="F74" s="49" t="n">
        <x:f>D74/E74-1</x:f>
        <x:v>1.2267391304347828</x:v>
      </x:c>
      <x:c r="G74" s="48" t="n">
        <x:v>483.39</x:v>
      </x:c>
      <x:c r="H74" s="48" t="n">
        <x:v>108.78</x:v>
      </x:c>
      <x:c r="I74" s="49" t="n">
        <x:f>IF(H74&gt;0,G74/H74-1,"n.a.")</x:f>
        <x:v>3.443739658025372</x:v>
      </x:c>
      <x:c r="J74" s="50" t="n">
        <x:f>G74-H74</x:f>
        <x:v>374.61</x:v>
      </x:c>
      <x:c r="K74" s="42" t="n">
        <x:f>IF(AND(D74&gt;E74,G74&gt;0,G74&gt;H74),1,0)</x:f>
        <x:v>1</x:v>
      </x:c>
      <x:c r="L74" s="42" t="str">
        <x:v>https://stockanalysis.com/stocks/smci/financials/?p=quarterly</x:v>
      </x:c>
    </x:row>
    <x:row r="75" ht="58" customHeight="1">
      <x:c r="A75" s="42" t="str">
        <x:v>SMCI</x:v>
      </x:c>
      <x:c r="B75" s="42" t="str">
        <x:v>Q2 2026</x:v>
      </x:c>
      <x:c r="C75" s="42" t="str">
        <x:v>USD</x:v>
      </x:c>
      <x:c r="D75" s="48" t="n">
        <x:v>12682</x:v>
      </x:c>
      <x:c r="E75" s="48" t="n">
        <x:v>5678</x:v>
      </x:c>
      <x:c r="F75" s="49" t="n">
        <x:f>D75/E75-1</x:f>
        <x:v>1.2335329341317367</x:v>
      </x:c>
      <x:c r="G75" s="48" t="n">
        <x:v>400.56</x:v>
      </x:c>
      <x:c r="H75" s="48" t="n">
        <x:v>320.6</x:v>
      </x:c>
      <x:c r="I75" s="49" t="n">
        <x:f>IF(H75&gt;0,G75/H75-1,"n.a.")</x:f>
        <x:v>0.24940736119775408</x:v>
      </x:c>
      <x:c r="J75" s="50" t="n">
        <x:f>G75-H75</x:f>
        <x:v>79.95999999999998</x:v>
      </x:c>
      <x:c r="K75" s="42" t="n">
        <x:f>IF(AND(D75&gt;E75,G75&gt;0,G75&gt;H75),1,0)</x:f>
        <x:v>1</x:v>
      </x:c>
      <x:c r="L75" s="42" t="str">
        <x:v>https://stockanalysis.com/stocks/smci/financials/?p=quarterly</x:v>
      </x:c>
    </x:row>
    <x:row r="76" ht="58" customHeight="1">
      <x:c r="A76" s="42" t="str">
        <x:v>SMCI</x:v>
      </x:c>
      <x:c r="B76" s="42" t="str">
        <x:v>Q1 2026</x:v>
      </x:c>
      <x:c r="C76" s="42" t="str">
        <x:v>USD</x:v>
      </x:c>
      <x:c r="D76" s="48" t="n">
        <x:v>5018</x:v>
      </x:c>
      <x:c r="E76" s="48" t="n">
        <x:v>5937</x:v>
      </x:c>
      <x:c r="F76" s="49" t="n">
        <x:f>D76/E76-1</x:f>
        <x:v>-0.1547919824827354</x:v>
      </x:c>
      <x:c r="G76" s="48" t="n">
        <x:v>168.29</x:v>
      </x:c>
      <x:c r="H76" s="48" t="n">
        <x:v>424.33</x:v>
      </x:c>
      <x:c r="I76" s="49" t="n">
        <x:f>IF(H76&gt;0,G76/H76-1,"n.a.")</x:f>
        <x:v>-0.6033982984940967</x:v>
      </x:c>
      <x:c r="J76" s="50" t="n">
        <x:f>G76-H76</x:f>
        <x:v>-256.03999999999996</x:v>
      </x:c>
      <x:c r="K76" s="42" t="n">
        <x:f>IF(AND(D76&gt;E76,G76&gt;0,G76&gt;H76),1,0)</x:f>
        <x:v>0</x:v>
      </x:c>
      <x:c r="L76" s="42" t="str">
        <x:v>https://stockanalysis.com/stocks/smci/financials/?p=quarterly</x:v>
      </x:c>
    </x:row>
    <x:row r="77" ht="58" customHeight="1">
      <x:c r="A77" s="44" t="str">
        <x:v>CVNA</x:v>
      </x:c>
      <x:c r="B77" s="44" t="str">
        <x:v>Q2 2026</x:v>
      </x:c>
      <x:c r="C77" s="44" t="str">
        <x:v>USD</x:v>
      </x:c>
      <x:c r="D77" s="45" t="n">
        <x:v>7376</x:v>
      </x:c>
      <x:c r="E77" s="45" t="n">
        <x:v>4840</x:v>
      </x:c>
      <x:c r="F77" s="46" t="n">
        <x:f>D77/E77-1</x:f>
        <x:v>0.5239669421487603</x:v>
      </x:c>
      <x:c r="G77" s="45" t="n">
        <x:v>310</x:v>
      </x:c>
      <x:c r="H77" s="45" t="n">
        <x:v>183</x:v>
      </x:c>
      <x:c r="I77" s="46" t="n">
        <x:f>IF(H77&gt;0,G77/H77-1,"n.a.")</x:f>
        <x:v>0.6939890710382515</x:v>
      </x:c>
      <x:c r="J77" s="47" t="n">
        <x:f>G77-H77</x:f>
        <x:v>127</x:v>
      </x:c>
      <x:c r="K77" s="44" t="n">
        <x:f>IF(AND(D77&gt;E77,G77&gt;0,G77&gt;H77),1,0)</x:f>
        <x:v>1</x:v>
      </x:c>
      <x:c r="L77" s="44" t="str">
        <x:v>https://stockanalysis.com/stocks/cvna/financials/?p=quarterly</x:v>
      </x:c>
    </x:row>
    <x:row r="78" ht="58" customHeight="1">
      <x:c r="A78" s="42" t="str">
        <x:v>CVNA</x:v>
      </x:c>
      <x:c r="B78" s="42" t="str">
        <x:v>Q1 2026</x:v>
      </x:c>
      <x:c r="C78" s="42" t="str">
        <x:v>USD</x:v>
      </x:c>
      <x:c r="D78" s="48" t="n">
        <x:v>6432</x:v>
      </x:c>
      <x:c r="E78" s="48" t="n">
        <x:v>4232</x:v>
      </x:c>
      <x:c r="F78" s="49" t="n">
        <x:f>D78/E78-1</x:f>
        <x:v>0.5198487712665407</x:v>
      </x:c>
      <x:c r="G78" s="48" t="n">
        <x:v>250</x:v>
      </x:c>
      <x:c r="H78" s="48" t="n">
        <x:v>216</x:v>
      </x:c>
      <x:c r="I78" s="49" t="n">
        <x:f>IF(H78&gt;0,G78/H78-1,"n.a.")</x:f>
        <x:v>0.15740740740740744</x:v>
      </x:c>
      <x:c r="J78" s="50" t="n">
        <x:f>G78-H78</x:f>
        <x:v>34</x:v>
      </x:c>
      <x:c r="K78" s="42" t="n">
        <x:f>IF(AND(D78&gt;E78,G78&gt;0,G78&gt;H78),1,0)</x:f>
        <x:v>1</x:v>
      </x:c>
      <x:c r="L78" s="42" t="str">
        <x:v>https://stockanalysis.com/stocks/cvna/financials/?p=quarterly</x:v>
      </x:c>
    </x:row>
    <x:row r="79" ht="58" customHeight="1">
      <x:c r="A79" s="42" t="str">
        <x:v>CVNA</x:v>
      </x:c>
      <x:c r="B79" s="42" t="str">
        <x:v>Q4 2025</x:v>
      </x:c>
      <x:c r="C79" s="42" t="str">
        <x:v>USD</x:v>
      </x:c>
      <x:c r="D79" s="48" t="n">
        <x:v>5603</x:v>
      </x:c>
      <x:c r="E79" s="48" t="n">
        <x:v>3547</x:v>
      </x:c>
      <x:c r="F79" s="49" t="n">
        <x:f>D79/E79-1</x:f>
        <x:v>0.579644770228362</x:v>
      </x:c>
      <x:c r="G79" s="48" t="n">
        <x:v>857</x:v>
      </x:c>
      <x:c r="H79" s="48" t="n">
        <x:v>79</x:v>
      </x:c>
      <x:c r="I79" s="49" t="n">
        <x:f>IF(H79&gt;0,G79/H79-1,"n.a.")</x:f>
        <x:v>9.848101265822784</x:v>
      </x:c>
      <x:c r="J79" s="50" t="n">
        <x:f>G79-H79</x:f>
        <x:v>778</x:v>
      </x:c>
      <x:c r="K79" s="42" t="n">
        <x:f>IF(AND(D79&gt;E79,G79&gt;0,G79&gt;H79),1,0)</x:f>
        <x:v>1</x:v>
      </x:c>
      <x:c r="L79" s="42" t="str">
        <x:v>https://stockanalysis.com/stocks/cvna/financials/?p=quarterly</x:v>
      </x:c>
    </x:row>
    <x:row r="80" ht="58" customHeight="1">
      <x:c r="A80" s="42" t="str">
        <x:v>CVNA</x:v>
      </x:c>
      <x:c r="B80" s="42" t="str">
        <x:v>Q3 2025</x:v>
      </x:c>
      <x:c r="C80" s="42" t="str">
        <x:v>USD</x:v>
      </x:c>
      <x:c r="D80" s="48" t="n">
        <x:v>5647</x:v>
      </x:c>
      <x:c r="E80" s="48" t="n">
        <x:v>3655</x:v>
      </x:c>
      <x:c r="F80" s="49" t="n">
        <x:f>D80/E80-1</x:f>
        <x:v>0.5450068399452805</x:v>
      </x:c>
      <x:c r="G80" s="48" t="n">
        <x:v>151</x:v>
      </x:c>
      <x:c r="H80" s="48" t="n">
        <x:v>85</x:v>
      </x:c>
      <x:c r="I80" s="49" t="n">
        <x:f>IF(H80&gt;0,G80/H80-1,"n.a.")</x:f>
        <x:v>0.776470588235294</x:v>
      </x:c>
      <x:c r="J80" s="50" t="n">
        <x:f>G80-H80</x:f>
        <x:v>66</x:v>
      </x:c>
      <x:c r="K80" s="42" t="n">
        <x:f>IF(AND(D80&gt;E80,G80&gt;0,G80&gt;H80),1,0)</x:f>
        <x:v>1</x:v>
      </x:c>
      <x:c r="L80" s="42" t="str">
        <x:v>https://stockanalysis.com/stocks/cvna/financials/?p=quarterly</x:v>
      </x:c>
    </x:row>
    <x:row r="81" ht="58" customHeight="1">
      <x:c r="A81" s="44" t="str">
        <x:v>CHWY</x:v>
      </x:c>
      <x:c r="B81" s="44" t="str">
        <x:v>Q2 2027</x:v>
      </x:c>
      <x:c r="C81" s="44" t="str">
        <x:v>USD</x:v>
      </x:c>
      <x:c r="D81" s="45" t="n">
        <x:v>3330</x:v>
      </x:c>
      <x:c r="E81" s="45" t="n">
        <x:v>3104</x:v>
      </x:c>
      <x:c r="F81" s="46" t="n">
        <x:f>D81/E81-1</x:f>
        <x:v>0.07280927835051543</x:v>
      </x:c>
      <x:c r="G81" s="45" t="n">
        <x:v>80.5</x:v>
      </x:c>
      <x:c r="H81" s="45" t="n">
        <x:v>62</x:v>
      </x:c>
      <x:c r="I81" s="46" t="n">
        <x:f>IF(H81&gt;0,G81/H81-1,"n.a.")</x:f>
        <x:v>0.2983870967741935</x:v>
      </x:c>
      <x:c r="J81" s="47" t="n">
        <x:f>G81-H81</x:f>
        <x:v>18.5</x:v>
      </x:c>
      <x:c r="K81" s="44" t="n">
        <x:f>IF(AND(D81&gt;E81,G81&gt;0,G81&gt;H81),1,0)</x:f>
        <x:v>1</x:v>
      </x:c>
      <x:c r="L81" s="44" t="str">
        <x:v>https://stockanalysis.com/stocks/chwy/financials/?p=quarterly</x:v>
      </x:c>
    </x:row>
    <x:row r="82" ht="58" customHeight="1">
      <x:c r="A82" s="42" t="str">
        <x:v>CHWY</x:v>
      </x:c>
      <x:c r="B82" s="42" t="str">
        <x:v>Q1 2027</x:v>
      </x:c>
      <x:c r="C82" s="42" t="str">
        <x:v>USD</x:v>
      </x:c>
      <x:c r="D82" s="48" t="n">
        <x:v>3357</x:v>
      </x:c>
      <x:c r="E82" s="48" t="n">
        <x:v>3116</x:v>
      </x:c>
      <x:c r="F82" s="49" t="n">
        <x:f>D82/E82-1</x:f>
        <x:v>0.07734274711168165</x:v>
      </x:c>
      <x:c r="G82" s="48" t="n">
        <x:v>94.8</x:v>
      </x:c>
      <x:c r="H82" s="48" t="n">
        <x:v>62.4</x:v>
      </x:c>
      <x:c r="I82" s="49" t="n">
        <x:f>IF(H82&gt;0,G82/H82-1,"n.a.")</x:f>
        <x:v>0.5192307692307692</x:v>
      </x:c>
      <x:c r="J82" s="50" t="n">
        <x:f>G82-H82</x:f>
        <x:v>32.4</x:v>
      </x:c>
      <x:c r="K82" s="42" t="n">
        <x:f>IF(AND(D82&gt;E82,G82&gt;0,G82&gt;H82),1,0)</x:f>
        <x:v>1</x:v>
      </x:c>
      <x:c r="L82" s="42" t="str">
        <x:v>https://stockanalysis.com/stocks/chwy/financials/?p=quarterly</x:v>
      </x:c>
    </x:row>
    <x:row r="83" ht="58" customHeight="1">
      <x:c r="A83" s="42" t="str">
        <x:v>CHWY</x:v>
      </x:c>
      <x:c r="B83" s="42" t="str">
        <x:v>Q4 2026</x:v>
      </x:c>
      <x:c r="C83" s="42" t="str">
        <x:v>USD</x:v>
      </x:c>
      <x:c r="D83" s="48" t="n">
        <x:v>3265</x:v>
      </x:c>
      <x:c r="E83" s="48" t="n">
        <x:v>3247</x:v>
      </x:c>
      <x:c r="F83" s="49" t="n">
        <x:f>D83/E83-1</x:f>
        <x:v>0.005543578688019801</x:v>
      </x:c>
      <x:c r="G83" s="48" t="n">
        <x:v>39.2</x:v>
      </x:c>
      <x:c r="H83" s="48" t="n">
        <x:v>22.8</x:v>
      </x:c>
      <x:c r="I83" s="49" t="n">
        <x:f>IF(H83&gt;0,G83/H83-1,"n.a.")</x:f>
        <x:v>0.7192982456140351</x:v>
      </x:c>
      <x:c r="J83" s="50" t="n">
        <x:f>G83-H83</x:f>
        <x:v>16.400000000000002</x:v>
      </x:c>
      <x:c r="K83" s="42" t="n">
        <x:f>IF(AND(D83&gt;E83,G83&gt;0,G83&gt;H83),1,0)</x:f>
        <x:v>1</x:v>
      </x:c>
      <x:c r="L83" s="42" t="str">
        <x:v>https://stockanalysis.com/stocks/chwy/financials/?p=quarterly</x:v>
      </x:c>
    </x:row>
    <x:row r="84" ht="58" customHeight="1">
      <x:c r="A84" s="42" t="str">
        <x:v>CHWY</x:v>
      </x:c>
      <x:c r="B84" s="42" t="str">
        <x:v>Q3 2026</x:v>
      </x:c>
      <x:c r="C84" s="42" t="str">
        <x:v>USD</x:v>
      </x:c>
      <x:c r="D84" s="48" t="n">
        <x:v>3117</x:v>
      </x:c>
      <x:c r="E84" s="48" t="n">
        <x:v>2878</x:v>
      </x:c>
      <x:c r="F84" s="49" t="n">
        <x:f>D84/E84-1</x:f>
        <x:v>0.08304378040305771</x:v>
      </x:c>
      <x:c r="G84" s="48" t="n">
        <x:v>59.2</x:v>
      </x:c>
      <x:c r="H84" s="48" t="n">
        <x:v>3.9</x:v>
      </x:c>
      <x:c r="I84" s="49" t="n">
        <x:f>IF(H84&gt;0,G84/H84-1,"n.a.")</x:f>
        <x:v>14.17948717948718</x:v>
      </x:c>
      <x:c r="J84" s="50" t="n">
        <x:f>G84-H84</x:f>
        <x:v>55.300000000000004</x:v>
      </x:c>
      <x:c r="K84" s="42" t="n">
        <x:f>IF(AND(D84&gt;E84,G84&gt;0,G84&gt;H84),1,0)</x:f>
        <x:v>1</x:v>
      </x:c>
      <x:c r="L84" s="42" t="str">
        <x:v>https://stockanalysis.com/stocks/chwy/financials/?p=quarterly</x:v>
      </x:c>
    </x:row>
    <x:row r="85" ht="58" customHeight="1">
      <x:c r="A85" s="44" t="str">
        <x:v>NOW</x:v>
      </x:c>
      <x:c r="B85" s="44" t="str">
        <x:v>Q2 2026</x:v>
      </x:c>
      <x:c r="C85" s="44" t="str">
        <x:v>USD</x:v>
      </x:c>
      <x:c r="D85" s="45" t="n">
        <x:v>3987</x:v>
      </x:c>
      <x:c r="E85" s="45" t="n">
        <x:v>3215</x:v>
      </x:c>
      <x:c r="F85" s="46" t="n">
        <x:f>D85/E85-1</x:f>
        <x:v>0.2401244167962675</x:v>
      </x:c>
      <x:c r="G85" s="45" t="n">
        <x:v>298</x:v>
      </x:c>
      <x:c r="H85" s="45" t="n">
        <x:v>385</x:v>
      </x:c>
      <x:c r="I85" s="46" t="n">
        <x:f>IF(H85&gt;0,G85/H85-1,"n.a.")</x:f>
        <x:v>-0.22597402597402594</x:v>
      </x:c>
      <x:c r="J85" s="47" t="n">
        <x:f>G85-H85</x:f>
        <x:v>-87</x:v>
      </x:c>
      <x:c r="K85" s="44" t="n">
        <x:f>IF(AND(D85&gt;E85,G85&gt;0,G85&gt;H85),1,0)</x:f>
        <x:v>0</x:v>
      </x:c>
      <x:c r="L85" s="44" t="str">
        <x:v>https://stockanalysis.com/stocks/now/financials/?p=quarterly</x:v>
      </x:c>
    </x:row>
    <x:row r="86" ht="58" customHeight="1">
      <x:c r="A86" s="42" t="str">
        <x:v>NOW</x:v>
      </x:c>
      <x:c r="B86" s="42" t="str">
        <x:v>Q1 2026</x:v>
      </x:c>
      <x:c r="C86" s="42" t="str">
        <x:v>USD</x:v>
      </x:c>
      <x:c r="D86" s="48" t="n">
        <x:v>3770</x:v>
      </x:c>
      <x:c r="E86" s="48" t="n">
        <x:v>3088</x:v>
      </x:c>
      <x:c r="F86" s="49" t="n">
        <x:f>D86/E86-1</x:f>
        <x:v>0.22085492227979264</x:v>
      </x:c>
      <x:c r="G86" s="48" t="n">
        <x:v>469</x:v>
      </x:c>
      <x:c r="H86" s="48" t="n">
        <x:v>460</x:v>
      </x:c>
      <x:c r="I86" s="49" t="n">
        <x:f>IF(H86&gt;0,G86/H86-1,"n.a.")</x:f>
        <x:v>0.019565217391304346</x:v>
      </x:c>
      <x:c r="J86" s="50" t="n">
        <x:f>G86-H86</x:f>
        <x:v>9</x:v>
      </x:c>
      <x:c r="K86" s="42" t="n">
        <x:f>IF(AND(D86&gt;E86,G86&gt;0,G86&gt;H86),1,0)</x:f>
        <x:v>1</x:v>
      </x:c>
      <x:c r="L86" s="42" t="str">
        <x:v>https://stockanalysis.com/stocks/now/financials/?p=quarterly</x:v>
      </x:c>
    </x:row>
    <x:row r="87" ht="58" customHeight="1">
      <x:c r="A87" s="42" t="str">
        <x:v>NOW</x:v>
      </x:c>
      <x:c r="B87" s="42" t="str">
        <x:v>Q4 2025</x:v>
      </x:c>
      <x:c r="C87" s="42" t="str">
        <x:v>USD</x:v>
      </x:c>
      <x:c r="D87" s="48" t="n">
        <x:v>3568</x:v>
      </x:c>
      <x:c r="E87" s="48" t="n">
        <x:v>2957</x:v>
      </x:c>
      <x:c r="F87" s="49" t="n">
        <x:f>D87/E87-1</x:f>
        <x:v>0.20662833953331083</x:v>
      </x:c>
      <x:c r="G87" s="48" t="n">
        <x:v>401</x:v>
      </x:c>
      <x:c r="H87" s="48" t="n">
        <x:v>384</x:v>
      </x:c>
      <x:c r="I87" s="49" t="n">
        <x:f>IF(H87&gt;0,G87/H87-1,"n.a.")</x:f>
        <x:v>0.04427083333333326</x:v>
      </x:c>
      <x:c r="J87" s="50" t="n">
        <x:f>G87-H87</x:f>
        <x:v>17</x:v>
      </x:c>
      <x:c r="K87" s="42" t="n">
        <x:f>IF(AND(D87&gt;E87,G87&gt;0,G87&gt;H87),1,0)</x:f>
        <x:v>1</x:v>
      </x:c>
      <x:c r="L87" s="42" t="str">
        <x:v>https://stockanalysis.com/stocks/now/financials/?p=quarterly</x:v>
      </x:c>
    </x:row>
    <x:row r="88" ht="58" customHeight="1">
      <x:c r="A88" s="42" t="str">
        <x:v>NOW</x:v>
      </x:c>
      <x:c r="B88" s="42" t="str">
        <x:v>Q3 2025</x:v>
      </x:c>
      <x:c r="C88" s="42" t="str">
        <x:v>USD</x:v>
      </x:c>
      <x:c r="D88" s="48" t="n">
        <x:v>3407</x:v>
      </x:c>
      <x:c r="E88" s="48" t="n">
        <x:v>2797</x:v>
      </x:c>
      <x:c r="F88" s="49" t="n">
        <x:f>D88/E88-1</x:f>
        <x:v>0.2180908115838398</x:v>
      </x:c>
      <x:c r="G88" s="48" t="n">
        <x:v>502</x:v>
      </x:c>
      <x:c r="H88" s="48" t="n">
        <x:v>432</x:v>
      </x:c>
      <x:c r="I88" s="49" t="n">
        <x:f>IF(H88&gt;0,G88/H88-1,"n.a.")</x:f>
        <x:v>0.16203703703703698</x:v>
      </x:c>
      <x:c r="J88" s="50" t="n">
        <x:f>G88-H88</x:f>
        <x:v>70</x:v>
      </x:c>
      <x:c r="K88" s="42" t="n">
        <x:f>IF(AND(D88&gt;E88,G88&gt;0,G88&gt;H88),1,0)</x:f>
        <x:v>1</x:v>
      </x:c>
      <x:c r="L88" s="42" t="str">
        <x:v>https://stockanalysis.com/stocks/now/financials/?p=quarterly</x:v>
      </x:c>
    </x:row>
    <x:row r="89" ht="58" customHeight="1">
      <x:c r="A89" s="44" t="str">
        <x:v>PYPL</x:v>
      </x:c>
      <x:c r="B89" s="44" t="str">
        <x:v>Q2 2026</x:v>
      </x:c>
      <x:c r="C89" s="44" t="str">
        <x:v>USD</x:v>
      </x:c>
      <x:c r="D89" s="45" t="n">
        <x:v>8682</x:v>
      </x:c>
      <x:c r="E89" s="45" t="n">
        <x:v>8288</x:v>
      </x:c>
      <x:c r="F89" s="46" t="n">
        <x:f>D89/E89-1</x:f>
        <x:v>0.04753861003860993</x:v>
      </x:c>
      <x:c r="G89" s="45" t="n">
        <x:v>1104</x:v>
      </x:c>
      <x:c r="H89" s="45" t="n">
        <x:v>1261</x:v>
      </x:c>
      <x:c r="I89" s="46" t="n">
        <x:f>IF(H89&gt;0,G89/H89-1,"n.a.")</x:f>
        <x:v>-0.12450436161776368</x:v>
      </x:c>
      <x:c r="J89" s="47" t="n">
        <x:f>G89-H89</x:f>
        <x:v>-157</x:v>
      </x:c>
      <x:c r="K89" s="44" t="n">
        <x:f>IF(AND(D89&gt;E89,G89&gt;0,G89&gt;H89),1,0)</x:f>
        <x:v>0</x:v>
      </x:c>
      <x:c r="L89" s="44" t="str">
        <x:v>https://stockanalysis.com/stocks/pypl/financials/?p=quarterly</x:v>
      </x:c>
    </x:row>
    <x:row r="90" ht="58" customHeight="1">
      <x:c r="A90" s="42" t="str">
        <x:v>PYPL</x:v>
      </x:c>
      <x:c r="B90" s="42" t="str">
        <x:v>Q1 2026</x:v>
      </x:c>
      <x:c r="C90" s="42" t="str">
        <x:v>USD</x:v>
      </x:c>
      <x:c r="D90" s="48" t="n">
        <x:v>8353</x:v>
      </x:c>
      <x:c r="E90" s="48" t="n">
        <x:v>7791</x:v>
      </x:c>
      <x:c r="F90" s="49" t="n">
        <x:f>D90/E90-1</x:f>
        <x:v>0.07213451418303163</x:v>
      </x:c>
      <x:c r="G90" s="48" t="n">
        <x:v>1113</x:v>
      </x:c>
      <x:c r="H90" s="48" t="n">
        <x:v>1287</x:v>
      </x:c>
      <x:c r="I90" s="49" t="n">
        <x:f>IF(H90&gt;0,G90/H90-1,"n.a.")</x:f>
        <x:v>-0.13519813519813517</x:v>
      </x:c>
      <x:c r="J90" s="50" t="n">
        <x:f>G90-H90</x:f>
        <x:v>-174</x:v>
      </x:c>
      <x:c r="K90" s="42" t="n">
        <x:f>IF(AND(D90&gt;E90,G90&gt;0,G90&gt;H90),1,0)</x:f>
        <x:v>0</x:v>
      </x:c>
      <x:c r="L90" s="42" t="str">
        <x:v>https://stockanalysis.com/stocks/pypl/financials/?p=quarterly</x:v>
      </x:c>
    </x:row>
    <x:row r="91" ht="58" customHeight="1">
      <x:c r="A91" s="42" t="str">
        <x:v>PYPL</x:v>
      </x:c>
      <x:c r="B91" s="42" t="str">
        <x:v>Q4 2025</x:v>
      </x:c>
      <x:c r="C91" s="42" t="str">
        <x:v>USD</x:v>
      </x:c>
      <x:c r="D91" s="48" t="n">
        <x:v>8676</x:v>
      </x:c>
      <x:c r="E91" s="48" t="n">
        <x:v>8366</x:v>
      </x:c>
      <x:c r="F91" s="49" t="n">
        <x:f>D91/E91-1</x:f>
        <x:v>0.03705474539803966</x:v>
      </x:c>
      <x:c r="G91" s="48" t="n">
        <x:v>1437</x:v>
      </x:c>
      <x:c r="H91" s="48" t="n">
        <x:v>1121</x:v>
      </x:c>
      <x:c r="I91" s="49" t="n">
        <x:f>IF(H91&gt;0,G91/H91-1,"n.a.")</x:f>
        <x:v>0.2818911685994647</x:v>
      </x:c>
      <x:c r="J91" s="50" t="n">
        <x:f>G91-H91</x:f>
        <x:v>316</x:v>
      </x:c>
      <x:c r="K91" s="42" t="n">
        <x:f>IF(AND(D91&gt;E91,G91&gt;0,G91&gt;H91),1,0)</x:f>
        <x:v>1</x:v>
      </x:c>
      <x:c r="L91" s="42" t="str">
        <x:v>https://stockanalysis.com/stocks/pypl/financials/?p=quarterly</x:v>
      </x:c>
    </x:row>
    <x:row r="92" ht="58" customHeight="1">
      <x:c r="A92" s="42" t="str">
        <x:v>PYPL</x:v>
      </x:c>
      <x:c r="B92" s="42" t="str">
        <x:v>Q3 2025</x:v>
      </x:c>
      <x:c r="C92" s="42" t="str">
        <x:v>USD</x:v>
      </x:c>
      <x:c r="D92" s="48" t="n">
        <x:v>8417</x:v>
      </x:c>
      <x:c r="E92" s="48" t="n">
        <x:v>7847</x:v>
      </x:c>
      <x:c r="F92" s="49" t="n">
        <x:f>D92/E92-1</x:f>
        <x:v>0.07263922518159815</x:v>
      </x:c>
      <x:c r="G92" s="48" t="n">
        <x:v>1248</x:v>
      </x:c>
      <x:c r="H92" s="48" t="n">
        <x:v>1010</x:v>
      </x:c>
      <x:c r="I92" s="49" t="n">
        <x:f>IF(H92&gt;0,G92/H92-1,"n.a.")</x:f>
        <x:v>0.23564356435643563</x:v>
      </x:c>
      <x:c r="J92" s="50" t="n">
        <x:f>G92-H92</x:f>
        <x:v>238</x:v>
      </x:c>
      <x:c r="K92" s="42" t="n">
        <x:f>IF(AND(D92&gt;E92,G92&gt;0,G92&gt;H92),1,0)</x:f>
        <x:v>1</x:v>
      </x:c>
      <x:c r="L92" s="42" t="str">
        <x:v>https://stockanalysis.com/stocks/pypl/financials/?p=quarterly</x:v>
      </x:c>
    </x:row>
    <x:row r="93" ht="58" customHeight="1">
      <x:c r="A93" s="44" t="str">
        <x:v>DASH</x:v>
      </x:c>
      <x:c r="B93" s="44" t="str">
        <x:v>Q2 2026</x:v>
      </x:c>
      <x:c r="C93" s="44" t="str">
        <x:v>USD</x:v>
      </x:c>
      <x:c r="D93" s="45" t="n">
        <x:v>4454</x:v>
      </x:c>
      <x:c r="E93" s="45" t="n">
        <x:v>3284</x:v>
      </x:c>
      <x:c r="F93" s="46" t="n">
        <x:f>D93/E93-1</x:f>
        <x:v>0.35627283800243603</x:v>
      </x:c>
      <x:c r="G93" s="45" t="n">
        <x:v>200</x:v>
      </x:c>
      <x:c r="H93" s="45" t="n">
        <x:v>285</x:v>
      </x:c>
      <x:c r="I93" s="46" t="n">
        <x:f>IF(H93&gt;0,G93/H93-1,"n.a.")</x:f>
        <x:v>-0.29824561403508776</x:v>
      </x:c>
      <x:c r="J93" s="47" t="n">
        <x:f>G93-H93</x:f>
        <x:v>-85</x:v>
      </x:c>
      <x:c r="K93" s="44" t="n">
        <x:f>IF(AND(D93&gt;E93,G93&gt;0,G93&gt;H93),1,0)</x:f>
        <x:v>0</x:v>
      </x:c>
      <x:c r="L93" s="44" t="str">
        <x:v>https://stockanalysis.com/stocks/dash/financials/?p=quarterly</x:v>
      </x:c>
    </x:row>
    <x:row r="94" ht="58" customHeight="1">
      <x:c r="A94" s="42" t="str">
        <x:v>DASH</x:v>
      </x:c>
      <x:c r="B94" s="42" t="str">
        <x:v>Q1 2026</x:v>
      </x:c>
      <x:c r="C94" s="42" t="str">
        <x:v>USD</x:v>
      </x:c>
      <x:c r="D94" s="48" t="n">
        <x:v>4036</x:v>
      </x:c>
      <x:c r="E94" s="48" t="n">
        <x:v>3032</x:v>
      </x:c>
      <x:c r="F94" s="49" t="n">
        <x:f>D94/E94-1</x:f>
        <x:v>0.33113456464379953</x:v>
      </x:c>
      <x:c r="G94" s="48" t="n">
        <x:v>184</x:v>
      </x:c>
      <x:c r="H94" s="48" t="n">
        <x:v>193</x:v>
      </x:c>
      <x:c r="I94" s="49" t="n">
        <x:f>IF(H94&gt;0,G94/H94-1,"n.a.")</x:f>
        <x:v>-0.04663212435233166</x:v>
      </x:c>
      <x:c r="J94" s="50" t="n">
        <x:f>G94-H94</x:f>
        <x:v>-9</x:v>
      </x:c>
      <x:c r="K94" s="42" t="n">
        <x:f>IF(AND(D94&gt;E94,G94&gt;0,G94&gt;H94),1,0)</x:f>
        <x:v>0</x:v>
      </x:c>
      <x:c r="L94" s="42" t="str">
        <x:v>https://stockanalysis.com/stocks/dash/financials/?p=quarterly</x:v>
      </x:c>
    </x:row>
    <x:row r="95" ht="58" customHeight="1">
      <x:c r="A95" s="42" t="str">
        <x:v>DASH</x:v>
      </x:c>
      <x:c r="B95" s="42" t="str">
        <x:v>Q4 2025</x:v>
      </x:c>
      <x:c r="C95" s="42" t="str">
        <x:v>USD</x:v>
      </x:c>
      <x:c r="D95" s="48" t="n">
        <x:v>3955</x:v>
      </x:c>
      <x:c r="E95" s="48" t="n">
        <x:v>2873</x:v>
      </x:c>
      <x:c r="F95" s="49" t="n">
        <x:f>D95/E95-1</x:f>
        <x:v>0.37660981552384265</x:v>
      </x:c>
      <x:c r="G95" s="48" t="n">
        <x:v>213</x:v>
      </x:c>
      <x:c r="H95" s="48" t="n">
        <x:v>141</x:v>
      </x:c>
      <x:c r="I95" s="49" t="n">
        <x:f>IF(H95&gt;0,G95/H95-1,"n.a.")</x:f>
        <x:v>0.5106382978723405</x:v>
      </x:c>
      <x:c r="J95" s="50" t="n">
        <x:f>G95-H95</x:f>
        <x:v>72</x:v>
      </x:c>
      <x:c r="K95" s="42" t="n">
        <x:f>IF(AND(D95&gt;E95,G95&gt;0,G95&gt;H95),1,0)</x:f>
        <x:v>1</x:v>
      </x:c>
      <x:c r="L95" s="42" t="str">
        <x:v>https://stockanalysis.com/stocks/dash/financials/?p=quarterly</x:v>
      </x:c>
    </x:row>
    <x:row r="96" ht="58" customHeight="1">
      <x:c r="A96" s="42" t="str">
        <x:v>DASH</x:v>
      </x:c>
      <x:c r="B96" s="42" t="str">
        <x:v>Q3 2025</x:v>
      </x:c>
      <x:c r="C96" s="42" t="str">
        <x:v>USD</x:v>
      </x:c>
      <x:c r="D96" s="48" t="n">
        <x:v>3446</x:v>
      </x:c>
      <x:c r="E96" s="48" t="n">
        <x:v>2706</x:v>
      </x:c>
      <x:c r="F96" s="49" t="n">
        <x:f>D96/E96-1</x:f>
        <x:v>0.2734663710273466</x:v>
      </x:c>
      <x:c r="G96" s="48" t="n">
        <x:v>244</x:v>
      </x:c>
      <x:c r="H96" s="48" t="n">
        <x:v>162</x:v>
      </x:c>
      <x:c r="I96" s="49" t="n">
        <x:f>IF(H96&gt;0,G96/H96-1,"n.a.")</x:f>
        <x:v>0.5061728395061729</x:v>
      </x:c>
      <x:c r="J96" s="50" t="n">
        <x:f>G96-H96</x:f>
        <x:v>82</x:v>
      </x:c>
      <x:c r="K96" s="42" t="n">
        <x:f>IF(AND(D96&gt;E96,G96&gt;0,G96&gt;H96),1,0)</x:f>
        <x:v>1</x:v>
      </x:c>
      <x:c r="L96" s="42" t="str">
        <x:v>https://stockanalysis.com/stocks/dash/financials/?p=quarterly</x:v>
      </x:c>
    </x:row>
    <x:row r="97" ht="58" customHeight="1">
      <x:c r="A97" s="44" t="str">
        <x:v>DECK</x:v>
      </x:c>
      <x:c r="B97" s="44" t="str">
        <x:v>Q1 2027</x:v>
      </x:c>
      <x:c r="C97" s="44" t="str">
        <x:v>USD</x:v>
      </x:c>
      <x:c r="D97" s="45" t="n">
        <x:v>1020</x:v>
      </x:c>
      <x:c r="E97" s="45" t="n">
        <x:v>964.54</x:v>
      </x:c>
      <x:c r="F97" s="46" t="n">
        <x:f>D97/E97-1</x:f>
        <x:v>0.05749891139817942</x:v>
      </x:c>
      <x:c r="G97" s="45" t="n">
        <x:v>129.97</x:v>
      </x:c>
      <x:c r="H97" s="45" t="n">
        <x:v>139.2</x:v>
      </x:c>
      <x:c r="I97" s="46" t="n">
        <x:f>IF(H97&gt;0,G97/H97-1,"n.a.")</x:f>
        <x:v>-0.06630747126436776</x:v>
      </x:c>
      <x:c r="J97" s="47" t="n">
        <x:f>G97-H97</x:f>
        <x:v>-9.22999999999999</x:v>
      </x:c>
      <x:c r="K97" s="44" t="n">
        <x:f>IF(AND(D97&gt;E97,G97&gt;0,G97&gt;H97),1,0)</x:f>
        <x:v>0</x:v>
      </x:c>
      <x:c r="L97" s="44" t="str">
        <x:v>https://stockanalysis.com/stocks/deck/financials/?p=quarterly</x:v>
      </x:c>
    </x:row>
    <x:row r="98" ht="58" customHeight="1">
      <x:c r="A98" s="42" t="str">
        <x:v>DECK</x:v>
      </x:c>
      <x:c r="B98" s="42" t="str">
        <x:v>Q4 2026</x:v>
      </x:c>
      <x:c r="C98" s="42" t="str">
        <x:v>USD</x:v>
      </x:c>
      <x:c r="D98" s="48" t="n">
        <x:v>1119</x:v>
      </x:c>
      <x:c r="E98" s="48" t="n">
        <x:v>1022</x:v>
      </x:c>
      <x:c r="F98" s="49" t="n">
        <x:f>D98/E98-1</x:f>
        <x:v>0.09491193737769077</x:v>
      </x:c>
      <x:c r="G98" s="48" t="n">
        <x:v>135.57</x:v>
      </x:c>
      <x:c r="H98" s="48" t="n">
        <x:v>151.41</x:v>
      </x:c>
      <x:c r="I98" s="49" t="n">
        <x:f>IF(H98&gt;0,G98/H98-1,"n.a.")</x:f>
        <x:v>-0.10461660392312266</x:v>
      </x:c>
      <x:c r="J98" s="50" t="n">
        <x:f>G98-H98</x:f>
        <x:v>-15.840000000000003</x:v>
      </x:c>
      <x:c r="K98" s="42" t="n">
        <x:f>IF(AND(D98&gt;E98,G98&gt;0,G98&gt;H98),1,0)</x:f>
        <x:v>0</x:v>
      </x:c>
      <x:c r="L98" s="42" t="str">
        <x:v>https://stockanalysis.com/stocks/deck/financials/?p=quarterly</x:v>
      </x:c>
    </x:row>
    <x:row r="99" ht="58" customHeight="1">
      <x:c r="A99" s="42" t="str">
        <x:v>DECK</x:v>
      </x:c>
      <x:c r="B99" s="42" t="str">
        <x:v>Q3 2026</x:v>
      </x:c>
      <x:c r="C99" s="42" t="str">
        <x:v>USD</x:v>
      </x:c>
      <x:c r="D99" s="48" t="n">
        <x:v>1958</x:v>
      </x:c>
      <x:c r="E99" s="48" t="n">
        <x:v>1827</x:v>
      </x:c>
      <x:c r="F99" s="49" t="n">
        <x:f>D99/E99-1</x:f>
        <x:v>0.07170224411603732</x:v>
      </x:c>
      <x:c r="G99" s="48" t="n">
        <x:v>481.15</x:v>
      </x:c>
      <x:c r="H99" s="48" t="n">
        <x:v>456.73</x:v>
      </x:c>
      <x:c r="I99" s="49" t="n">
        <x:f>IF(H99&gt;0,G99/H99-1,"n.a.")</x:f>
        <x:v>0.05346703741816827</x:v>
      </x:c>
      <x:c r="J99" s="50" t="n">
        <x:f>G99-H99</x:f>
        <x:v>24.41999999999996</x:v>
      </x:c>
      <x:c r="K99" s="42" t="n">
        <x:f>IF(AND(D99&gt;E99,G99&gt;0,G99&gt;H99),1,0)</x:f>
        <x:v>1</x:v>
      </x:c>
      <x:c r="L99" s="42" t="str">
        <x:v>https://stockanalysis.com/stocks/deck/financials/?p=quarterly</x:v>
      </x:c>
    </x:row>
    <x:row r="100" ht="58" customHeight="1">
      <x:c r="A100" s="42" t="str">
        <x:v>DECK</x:v>
      </x:c>
      <x:c r="B100" s="42" t="str">
        <x:v>Q2 2026</x:v>
      </x:c>
      <x:c r="C100" s="42" t="str">
        <x:v>USD</x:v>
      </x:c>
      <x:c r="D100" s="48" t="n">
        <x:v>1431</x:v>
      </x:c>
      <x:c r="E100" s="48" t="n">
        <x:v>1311</x:v>
      </x:c>
      <x:c r="F100" s="49" t="n">
        <x:f>D100/E100-1</x:f>
        <x:v>0.09153318077803196</x:v>
      </x:c>
      <x:c r="G100" s="48" t="n">
        <x:v>268.15</x:v>
      </x:c>
      <x:c r="H100" s="48" t="n">
        <x:v>242.32</x:v>
      </x:c>
      <x:c r="I100" s="49" t="n">
        <x:f>IF(H100&gt;0,G100/H100-1,"n.a.")</x:f>
        <x:v>0.10659458567183888</x:v>
      </x:c>
      <x:c r="J100" s="50" t="n">
        <x:f>G100-H100</x:f>
        <x:v>25.829999999999984</x:v>
      </x:c>
      <x:c r="K100" s="42" t="n">
        <x:f>IF(AND(D100&gt;E100,G100&gt;0,G100&gt;H100),1,0)</x:f>
        <x:v>1</x:v>
      </x:c>
      <x:c r="L100" s="42" t="str">
        <x:v>https://stockanalysis.com/stocks/deck/financials/?p=quarterly</x:v>
      </x:c>
    </x:row>
    <x:row r="101" ht="58" customHeight="1">
      <x:c r="A101" s="44" t="str">
        <x:v>FSLR</x:v>
      </x:c>
      <x:c r="B101" s="44" t="str">
        <x:v>Q2 2026</x:v>
      </x:c>
      <x:c r="C101" s="44" t="str">
        <x:v>USD</x:v>
      </x:c>
      <x:c r="D101" s="45" t="n">
        <x:v>1056</x:v>
      </x:c>
      <x:c r="E101" s="45" t="n">
        <x:v>1097</x:v>
      </x:c>
      <x:c r="F101" s="46" t="n">
        <x:f>D101/E101-1</x:f>
        <x:v>-0.037374658158614404</x:v>
      </x:c>
      <x:c r="G101" s="45" t="n">
        <x:v>422.57</x:v>
      </x:c>
      <x:c r="H101" s="45" t="n">
        <x:v>341.87</x:v>
      </x:c>
      <x:c r="I101" s="46" t="n">
        <x:f>IF(H101&gt;0,G101/H101-1,"n.a.")</x:f>
        <x:v>0.23605464065287962</x:v>
      </x:c>
      <x:c r="J101" s="47" t="n">
        <x:f>G101-H101</x:f>
        <x:v>80.69999999999999</x:v>
      </x:c>
      <x:c r="K101" s="44" t="n">
        <x:f>IF(AND(D101&gt;E101,G101&gt;0,G101&gt;H101),1,0)</x:f>
        <x:v>0</x:v>
      </x:c>
      <x:c r="L101" s="44" t="str">
        <x:v>https://stockanalysis.com/stocks/fslr/financials/?p=quarterly</x:v>
      </x:c>
    </x:row>
    <x:row r="102" ht="58" customHeight="1">
      <x:c r="A102" s="42" t="str">
        <x:v>FSLR</x:v>
      </x:c>
      <x:c r="B102" s="42" t="str">
        <x:v>Q1 2026</x:v>
      </x:c>
      <x:c r="C102" s="42" t="str">
        <x:v>USD</x:v>
      </x:c>
      <x:c r="D102" s="48" t="n">
        <x:v>1044</x:v>
      </x:c>
      <x:c r="E102" s="48" t="n">
        <x:v>844.57</x:v>
      </x:c>
      <x:c r="F102" s="49" t="n">
        <x:f>D102/E102-1</x:f>
        <x:v>0.23613199616372826</x:v>
      </x:c>
      <x:c r="G102" s="48" t="n">
        <x:v>346.62</x:v>
      </x:c>
      <x:c r="H102" s="48" t="n">
        <x:v>209.54</x:v>
      </x:c>
      <x:c r="I102" s="49" t="n">
        <x:f>IF(H102&gt;0,G102/H102-1,"n.a.")</x:f>
        <x:v>0.6541949031211225</x:v>
      </x:c>
      <x:c r="J102" s="50" t="n">
        <x:f>G102-H102</x:f>
        <x:v>137.08</x:v>
      </x:c>
      <x:c r="K102" s="42" t="n">
        <x:f>IF(AND(D102&gt;E102,G102&gt;0,G102&gt;H102),1,0)</x:f>
        <x:v>1</x:v>
      </x:c>
      <x:c r="L102" s="42" t="str">
        <x:v>https://stockanalysis.com/stocks/fslr/financials/?p=quarterly</x:v>
      </x:c>
    </x:row>
    <x:row r="103" ht="58" customHeight="1">
      <x:c r="A103" s="42" t="str">
        <x:v>FSLR</x:v>
      </x:c>
      <x:c r="B103" s="42" t="str">
        <x:v>Q4 2025</x:v>
      </x:c>
      <x:c r="C103" s="42" t="str">
        <x:v>USD</x:v>
      </x:c>
      <x:c r="D103" s="48" t="n">
        <x:v>1683</x:v>
      </x:c>
      <x:c r="E103" s="48" t="n">
        <x:v>1514</x:v>
      </x:c>
      <x:c r="F103" s="49" t="n">
        <x:f>D103/E103-1</x:f>
        <x:v>0.11162483487450459</x:v>
      </x:c>
      <x:c r="G103" s="48" t="n">
        <x:v>520.88</x:v>
      </x:c>
      <x:c r="H103" s="48" t="n">
        <x:v>393.12</x:v>
      </x:c>
      <x:c r="I103" s="49" t="n">
        <x:f>IF(H103&gt;0,G103/H103-1,"n.a.")</x:f>
        <x:v>0.32498982498982487</x:v>
      </x:c>
      <x:c r="J103" s="50" t="n">
        <x:f>G103-H103</x:f>
        <x:v>127.75999999999999</x:v>
      </x:c>
      <x:c r="K103" s="42" t="n">
        <x:f>IF(AND(D103&gt;E103,G103&gt;0,G103&gt;H103),1,0)</x:f>
        <x:v>1</x:v>
      </x:c>
      <x:c r="L103" s="42" t="str">
        <x:v>https://stockanalysis.com/stocks/fslr/financials/?p=quarterly</x:v>
      </x:c>
    </x:row>
    <x:row r="104" ht="58" customHeight="1">
      <x:c r="A104" s="42" t="str">
        <x:v>FSLR</x:v>
      </x:c>
      <x:c r="B104" s="42" t="str">
        <x:v>Q3 2025</x:v>
      </x:c>
      <x:c r="C104" s="42" t="str">
        <x:v>USD</x:v>
      </x:c>
      <x:c r="D104" s="48" t="n">
        <x:v>1595</x:v>
      </x:c>
      <x:c r="E104" s="48" t="n">
        <x:v>887.67</x:v>
      </x:c>
      <x:c r="F104" s="49" t="n">
        <x:f>D104/E104-1</x:f>
        <x:v>0.7968389153626911</x:v>
      </x:c>
      <x:c r="G104" s="48" t="n">
        <x:v>455.94</x:v>
      </x:c>
      <x:c r="H104" s="48" t="n">
        <x:v>312.96</x:v>
      </x:c>
      <x:c r="I104" s="49" t="n">
        <x:f>IF(H104&gt;0,G104/H104-1,"n.a.")</x:f>
        <x:v>0.4568634969325154</x:v>
      </x:c>
      <x:c r="J104" s="50" t="n">
        <x:f>G104-H104</x:f>
        <x:v>142.98000000000002</x:v>
      </x:c>
      <x:c r="K104" s="42" t="n">
        <x:f>IF(AND(D104&gt;E104,G104&gt;0,G104&gt;H104),1,0)</x:f>
        <x:v>1</x:v>
      </x:c>
      <x:c r="L104" s="42" t="str">
        <x:v>https://stockanalysis.com/stocks/fslr/financials/?p=quarterly</x:v>
      </x:c>
    </x:row>
  </x:sheetData>
  <x:mergeCells>
    <x:mergeCell ref="A1:L1"/>
    <x:mergeCell ref="A2:L2"/>
    <x:mergeCell ref="A3:L3"/>
    <x:mergeCell ref="A4:L4"/>
    <x:mergeCell ref="A5:L5"/>
    <x:mergeCell ref="A6:L6"/>
    <x:mergeCell ref="A7:L7"/>
  </x:mergeCells>
  <x:pageMargins left="0.7" right="0.7" top="0.75" bottom="0.75" header="0.3" footer="0.3"/>
  <x:tableParts count="1">
    <x:tablePart xmlns:r="http://schemas.openxmlformats.org/officeDocument/2006/relationships" r:id="Rfd8965738c2241da"/>
  </x:tableParts>
</x:worksheet>
</file>